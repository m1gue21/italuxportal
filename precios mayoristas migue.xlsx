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kevinosorio/Desktop/"/>
    </mc:Choice>
  </mc:AlternateContent>
  <xr:revisionPtr revIDLastSave="0" documentId="13_ncr:1_{D80A5784-C9AD-664A-8F45-ECA1E513E07B}" xr6:coauthVersionLast="47" xr6:coauthVersionMax="47" xr10:uidLastSave="{00000000-0000-0000-0000-000000000000}"/>
  <bookViews>
    <workbookView xWindow="0" yWindow="660" windowWidth="29400" windowHeight="17160" activeTab="1" xr2:uid="{00000000-000D-0000-FFFF-FFFF00000000}"/>
  </bookViews>
  <sheets>
    <sheet name="NUEVAS REFERENCIAS" sheetId="21" r:id="rId1"/>
    <sheet name="CHILE" sheetId="29" r:id="rId2"/>
    <sheet name="COLOMBIA" sheetId="32" r:id="rId3"/>
    <sheet name="ESPANA" sheetId="38" r:id="rId4"/>
    <sheet name="ECUADOR" sheetId="3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4" i="21" l="1"/>
  <c r="N124" i="21" s="1"/>
  <c r="J124" i="21"/>
  <c r="K124" i="21"/>
  <c r="I107" i="21"/>
  <c r="N107" i="21" s="1"/>
  <c r="J107" i="21"/>
  <c r="K107" i="21"/>
  <c r="I157" i="21"/>
  <c r="U157" i="21" s="1"/>
  <c r="J157" i="21"/>
  <c r="K157" i="21"/>
  <c r="I103" i="21"/>
  <c r="N103" i="21" s="1"/>
  <c r="J103" i="21"/>
  <c r="K103" i="21"/>
  <c r="AM156" i="21"/>
  <c r="J156" i="21"/>
  <c r="K156" i="21"/>
  <c r="I156" i="21"/>
  <c r="I141" i="21"/>
  <c r="I142" i="21"/>
  <c r="L142" i="21" s="1"/>
  <c r="I143" i="21"/>
  <c r="I144" i="21"/>
  <c r="I145" i="21"/>
  <c r="I146" i="21"/>
  <c r="I147" i="21"/>
  <c r="I148" i="21"/>
  <c r="I149" i="21"/>
  <c r="J141" i="21"/>
  <c r="K141" i="21"/>
  <c r="AM141" i="21"/>
  <c r="J142" i="21"/>
  <c r="K142" i="21"/>
  <c r="AM142" i="21"/>
  <c r="J143" i="21"/>
  <c r="K143" i="21"/>
  <c r="AM143" i="21"/>
  <c r="J144" i="21"/>
  <c r="K144" i="21"/>
  <c r="AM144" i="21"/>
  <c r="J145" i="21"/>
  <c r="K145" i="21"/>
  <c r="AM145" i="21"/>
  <c r="J146" i="21"/>
  <c r="K146" i="21"/>
  <c r="AM146" i="21"/>
  <c r="J147" i="21"/>
  <c r="K147" i="21"/>
  <c r="AM147" i="21"/>
  <c r="J148" i="21"/>
  <c r="K148" i="21"/>
  <c r="AM148" i="21"/>
  <c r="J149" i="21"/>
  <c r="K149" i="21"/>
  <c r="AM149" i="21"/>
  <c r="I155" i="21"/>
  <c r="L155" i="21" s="1"/>
  <c r="J155" i="21"/>
  <c r="K155" i="21"/>
  <c r="I154" i="21"/>
  <c r="J154" i="21"/>
  <c r="K154" i="21"/>
  <c r="I83" i="21"/>
  <c r="I84" i="21"/>
  <c r="I85" i="21"/>
  <c r="I86" i="21"/>
  <c r="I87" i="21"/>
  <c r="I88" i="21"/>
  <c r="I89" i="21"/>
  <c r="I90" i="21"/>
  <c r="I91" i="21"/>
  <c r="I92" i="21"/>
  <c r="J83" i="21"/>
  <c r="K83" i="21"/>
  <c r="AM83" i="21"/>
  <c r="J84" i="21"/>
  <c r="K84" i="21"/>
  <c r="AM84" i="21"/>
  <c r="J85" i="21"/>
  <c r="K85" i="21"/>
  <c r="AM85" i="21"/>
  <c r="J86" i="21"/>
  <c r="K86" i="21"/>
  <c r="AM86" i="21"/>
  <c r="J87" i="21"/>
  <c r="K87" i="21"/>
  <c r="AM87" i="21"/>
  <c r="J88" i="21"/>
  <c r="K88" i="21"/>
  <c r="AM88" i="21"/>
  <c r="J89" i="21"/>
  <c r="K89" i="21"/>
  <c r="AM89" i="21"/>
  <c r="J90" i="21"/>
  <c r="K90" i="21"/>
  <c r="AM90" i="21"/>
  <c r="J91" i="21"/>
  <c r="K91" i="21"/>
  <c r="AM91" i="21"/>
  <c r="J92" i="21"/>
  <c r="K92" i="21"/>
  <c r="AM92" i="21"/>
  <c r="I76" i="21"/>
  <c r="O76" i="21" s="1"/>
  <c r="X76" i="21" s="1"/>
  <c r="J76" i="21"/>
  <c r="K76" i="21"/>
  <c r="I131" i="21"/>
  <c r="J131" i="21"/>
  <c r="K131" i="21"/>
  <c r="I119" i="21"/>
  <c r="J119" i="21"/>
  <c r="K119" i="21"/>
  <c r="I55" i="21"/>
  <c r="L55" i="21" s="1"/>
  <c r="J55" i="21"/>
  <c r="K55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I5" i="21"/>
  <c r="I6" i="21"/>
  <c r="I7" i="21"/>
  <c r="I8" i="21"/>
  <c r="I9" i="21"/>
  <c r="I10" i="21"/>
  <c r="L10" i="21" s="1"/>
  <c r="I11" i="21"/>
  <c r="I12" i="21"/>
  <c r="I13" i="21"/>
  <c r="L13" i="21" s="1"/>
  <c r="I14" i="21"/>
  <c r="I15" i="21"/>
  <c r="I16" i="21"/>
  <c r="L16" i="21" s="1"/>
  <c r="I17" i="21"/>
  <c r="I18" i="21"/>
  <c r="L18" i="21" s="1"/>
  <c r="I19" i="21"/>
  <c r="L19" i="21" s="1"/>
  <c r="I20" i="21"/>
  <c r="L20" i="21" s="1"/>
  <c r="I21" i="21"/>
  <c r="L21" i="21" s="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H162" i="21"/>
  <c r="AM160" i="21"/>
  <c r="K160" i="21"/>
  <c r="J160" i="21"/>
  <c r="I160" i="21"/>
  <c r="AM159" i="21"/>
  <c r="K159" i="21"/>
  <c r="J159" i="21"/>
  <c r="I159" i="21"/>
  <c r="AM158" i="21"/>
  <c r="K158" i="21"/>
  <c r="J158" i="21"/>
  <c r="I158" i="21"/>
  <c r="AM153" i="21"/>
  <c r="K153" i="21"/>
  <c r="J153" i="21"/>
  <c r="I153" i="21"/>
  <c r="AM152" i="21"/>
  <c r="K152" i="21"/>
  <c r="J152" i="21"/>
  <c r="I152" i="21"/>
  <c r="AM151" i="21"/>
  <c r="K151" i="21"/>
  <c r="J151" i="21"/>
  <c r="I151" i="21"/>
  <c r="AM150" i="21"/>
  <c r="K150" i="21"/>
  <c r="J150" i="21"/>
  <c r="I150" i="21"/>
  <c r="AM140" i="21"/>
  <c r="K140" i="21"/>
  <c r="J140" i="21"/>
  <c r="I140" i="21"/>
  <c r="AM139" i="21"/>
  <c r="K139" i="21"/>
  <c r="J139" i="21"/>
  <c r="I139" i="21"/>
  <c r="AM138" i="21"/>
  <c r="K138" i="21"/>
  <c r="J138" i="21"/>
  <c r="I138" i="21"/>
  <c r="AM137" i="21"/>
  <c r="K137" i="21"/>
  <c r="J137" i="21"/>
  <c r="I137" i="21"/>
  <c r="AM136" i="21"/>
  <c r="K136" i="21"/>
  <c r="J136" i="21"/>
  <c r="I136" i="21"/>
  <c r="AM135" i="21"/>
  <c r="K135" i="21"/>
  <c r="J135" i="21"/>
  <c r="I135" i="21"/>
  <c r="AM134" i="21"/>
  <c r="K134" i="21"/>
  <c r="J134" i="21"/>
  <c r="I134" i="21"/>
  <c r="AM133" i="21"/>
  <c r="K133" i="21"/>
  <c r="J133" i="21"/>
  <c r="I133" i="21"/>
  <c r="AM132" i="21"/>
  <c r="K132" i="21"/>
  <c r="J132" i="21"/>
  <c r="I132" i="21"/>
  <c r="U132" i="21" s="1"/>
  <c r="BO132" i="21" s="1"/>
  <c r="AM130" i="21"/>
  <c r="K130" i="21"/>
  <c r="J130" i="21"/>
  <c r="I130" i="21"/>
  <c r="AM129" i="21"/>
  <c r="K129" i="21"/>
  <c r="J129" i="21"/>
  <c r="I129" i="21"/>
  <c r="AM128" i="21"/>
  <c r="K128" i="21"/>
  <c r="J128" i="21"/>
  <c r="I128" i="21"/>
  <c r="AM127" i="21"/>
  <c r="K127" i="21"/>
  <c r="J127" i="21"/>
  <c r="I127" i="21"/>
  <c r="AM126" i="21"/>
  <c r="K126" i="21"/>
  <c r="J126" i="21"/>
  <c r="I126" i="21"/>
  <c r="AM125" i="21"/>
  <c r="K125" i="21"/>
  <c r="J125" i="21"/>
  <c r="I125" i="21"/>
  <c r="AM123" i="21"/>
  <c r="K123" i="21"/>
  <c r="J123" i="21"/>
  <c r="I123" i="21"/>
  <c r="O123" i="21" s="1"/>
  <c r="X123" i="21" s="1"/>
  <c r="AM122" i="21"/>
  <c r="K122" i="21"/>
  <c r="J122" i="21"/>
  <c r="I122" i="21"/>
  <c r="AM121" i="21"/>
  <c r="K121" i="21"/>
  <c r="J121" i="21"/>
  <c r="I121" i="21"/>
  <c r="AM120" i="21"/>
  <c r="K120" i="21"/>
  <c r="J120" i="21"/>
  <c r="I120" i="21"/>
  <c r="AM118" i="21"/>
  <c r="K118" i="21"/>
  <c r="J118" i="21"/>
  <c r="I118" i="21"/>
  <c r="AM117" i="21"/>
  <c r="K117" i="21"/>
  <c r="J117" i="21"/>
  <c r="I117" i="21"/>
  <c r="AM116" i="21"/>
  <c r="K116" i="21"/>
  <c r="J116" i="21"/>
  <c r="I116" i="21"/>
  <c r="AM115" i="21"/>
  <c r="K115" i="21"/>
  <c r="J115" i="21"/>
  <c r="I115" i="21"/>
  <c r="AM114" i="21"/>
  <c r="K114" i="21"/>
  <c r="J114" i="21"/>
  <c r="I114" i="21"/>
  <c r="AM113" i="21"/>
  <c r="K113" i="21"/>
  <c r="J113" i="21"/>
  <c r="I113" i="21"/>
  <c r="AM112" i="21"/>
  <c r="K112" i="21"/>
  <c r="J112" i="21"/>
  <c r="I112" i="21"/>
  <c r="AM111" i="21"/>
  <c r="K111" i="21"/>
  <c r="J111" i="21"/>
  <c r="I111" i="21"/>
  <c r="AM110" i="21"/>
  <c r="K110" i="21"/>
  <c r="J110" i="21"/>
  <c r="I110" i="21"/>
  <c r="AM109" i="21"/>
  <c r="K109" i="21"/>
  <c r="J109" i="21"/>
  <c r="I109" i="21"/>
  <c r="AM108" i="21"/>
  <c r="K108" i="21"/>
  <c r="J108" i="21"/>
  <c r="I108" i="21"/>
  <c r="AM106" i="21"/>
  <c r="K106" i="21"/>
  <c r="J106" i="21"/>
  <c r="I106" i="21"/>
  <c r="AM105" i="21"/>
  <c r="K105" i="21"/>
  <c r="J105" i="21"/>
  <c r="I105" i="21"/>
  <c r="AM104" i="21"/>
  <c r="K104" i="21"/>
  <c r="J104" i="21"/>
  <c r="I104" i="21"/>
  <c r="AM102" i="21"/>
  <c r="K102" i="21"/>
  <c r="J102" i="21"/>
  <c r="I102" i="21"/>
  <c r="AM101" i="21"/>
  <c r="K101" i="21"/>
  <c r="J101" i="21"/>
  <c r="I101" i="21"/>
  <c r="AM100" i="21"/>
  <c r="K100" i="21"/>
  <c r="J100" i="21"/>
  <c r="I100" i="21"/>
  <c r="AM99" i="21"/>
  <c r="K99" i="21"/>
  <c r="J99" i="21"/>
  <c r="I99" i="21"/>
  <c r="AM98" i="21"/>
  <c r="K98" i="21"/>
  <c r="J98" i="21"/>
  <c r="I98" i="21"/>
  <c r="AM97" i="21"/>
  <c r="K97" i="21"/>
  <c r="J97" i="21"/>
  <c r="I97" i="21"/>
  <c r="AM96" i="21"/>
  <c r="K96" i="21"/>
  <c r="J96" i="21"/>
  <c r="I96" i="21"/>
  <c r="AM95" i="21"/>
  <c r="K95" i="21"/>
  <c r="J95" i="21"/>
  <c r="I95" i="21"/>
  <c r="AM94" i="21"/>
  <c r="K94" i="21"/>
  <c r="J94" i="21"/>
  <c r="I94" i="21"/>
  <c r="AM93" i="21"/>
  <c r="K93" i="21"/>
  <c r="J93" i="21"/>
  <c r="I93" i="21"/>
  <c r="AM82" i="21"/>
  <c r="K82" i="21"/>
  <c r="J82" i="21"/>
  <c r="I82" i="21"/>
  <c r="AM81" i="21"/>
  <c r="K81" i="21"/>
  <c r="J81" i="21"/>
  <c r="I81" i="21"/>
  <c r="AM80" i="21"/>
  <c r="K80" i="21"/>
  <c r="J80" i="21"/>
  <c r="I80" i="21"/>
  <c r="AM79" i="21"/>
  <c r="K79" i="21"/>
  <c r="J79" i="21"/>
  <c r="I79" i="21"/>
  <c r="AM78" i="21"/>
  <c r="K78" i="21"/>
  <c r="J78" i="21"/>
  <c r="I78" i="21"/>
  <c r="AM77" i="21"/>
  <c r="K77" i="21"/>
  <c r="J77" i="21"/>
  <c r="I77" i="21"/>
  <c r="AM75" i="21"/>
  <c r="K75" i="21"/>
  <c r="J75" i="21"/>
  <c r="I75" i="21"/>
  <c r="AM74" i="21"/>
  <c r="K74" i="21"/>
  <c r="J74" i="21"/>
  <c r="I74" i="21"/>
  <c r="AM73" i="21"/>
  <c r="K73" i="21"/>
  <c r="J73" i="21"/>
  <c r="I73" i="21"/>
  <c r="AM72" i="21"/>
  <c r="K72" i="21"/>
  <c r="J72" i="21"/>
  <c r="I72" i="21"/>
  <c r="AM71" i="21"/>
  <c r="K71" i="21"/>
  <c r="J71" i="21"/>
  <c r="I71" i="21"/>
  <c r="AM70" i="21"/>
  <c r="K70" i="21"/>
  <c r="J70" i="21"/>
  <c r="I70" i="21"/>
  <c r="AM69" i="21"/>
  <c r="K69" i="21"/>
  <c r="J69" i="21"/>
  <c r="I69" i="21"/>
  <c r="AM68" i="21"/>
  <c r="K68" i="21"/>
  <c r="J68" i="21"/>
  <c r="I68" i="21"/>
  <c r="AM67" i="21"/>
  <c r="K67" i="21"/>
  <c r="J67" i="21"/>
  <c r="I67" i="21"/>
  <c r="AM66" i="21"/>
  <c r="K66" i="21"/>
  <c r="J66" i="21"/>
  <c r="I66" i="21"/>
  <c r="AM65" i="21"/>
  <c r="K65" i="21"/>
  <c r="J65" i="21"/>
  <c r="I65" i="21"/>
  <c r="AM64" i="21"/>
  <c r="K64" i="21"/>
  <c r="J64" i="21"/>
  <c r="I64" i="21"/>
  <c r="AM63" i="21"/>
  <c r="K63" i="21"/>
  <c r="J63" i="21"/>
  <c r="I63" i="21"/>
  <c r="AM62" i="21"/>
  <c r="K62" i="21"/>
  <c r="J62" i="21"/>
  <c r="I62" i="21"/>
  <c r="AM61" i="21"/>
  <c r="K61" i="21"/>
  <c r="J61" i="21"/>
  <c r="I61" i="21"/>
  <c r="AM60" i="21"/>
  <c r="K60" i="21"/>
  <c r="J60" i="21"/>
  <c r="I60" i="21"/>
  <c r="AM59" i="21"/>
  <c r="K59" i="21"/>
  <c r="J59" i="21"/>
  <c r="I59" i="21"/>
  <c r="AM58" i="21"/>
  <c r="K58" i="21"/>
  <c r="J58" i="21"/>
  <c r="I58" i="21"/>
  <c r="AM57" i="21"/>
  <c r="K57" i="21"/>
  <c r="J57" i="21"/>
  <c r="I57" i="21"/>
  <c r="AM56" i="21"/>
  <c r="K56" i="21"/>
  <c r="J56" i="21"/>
  <c r="I56" i="21"/>
  <c r="AM54" i="21"/>
  <c r="K54" i="21"/>
  <c r="J54" i="21"/>
  <c r="I54" i="21"/>
  <c r="AM53" i="21"/>
  <c r="K53" i="21"/>
  <c r="J53" i="21"/>
  <c r="I53" i="21"/>
  <c r="AM52" i="21"/>
  <c r="K52" i="21"/>
  <c r="J52" i="21"/>
  <c r="I52" i="21"/>
  <c r="AM51" i="21"/>
  <c r="K51" i="21"/>
  <c r="J51" i="21"/>
  <c r="I51" i="21"/>
  <c r="AM50" i="21"/>
  <c r="K50" i="21"/>
  <c r="J50" i="21"/>
  <c r="I50" i="21"/>
  <c r="AM49" i="21"/>
  <c r="K49" i="21"/>
  <c r="J49" i="21"/>
  <c r="I49" i="21"/>
  <c r="AM48" i="21"/>
  <c r="K48" i="21"/>
  <c r="J48" i="21"/>
  <c r="I48" i="21"/>
  <c r="AM47" i="21"/>
  <c r="K47" i="21"/>
  <c r="J47" i="21"/>
  <c r="I47" i="21"/>
  <c r="AM46" i="21"/>
  <c r="K46" i="21"/>
  <c r="J46" i="21"/>
  <c r="I46" i="21"/>
  <c r="AM45" i="21"/>
  <c r="K45" i="21"/>
  <c r="J45" i="21"/>
  <c r="I45" i="21"/>
  <c r="AM44" i="21"/>
  <c r="K44" i="21"/>
  <c r="J44" i="21"/>
  <c r="I44" i="21"/>
  <c r="AM43" i="21"/>
  <c r="K43" i="21"/>
  <c r="J43" i="21"/>
  <c r="I43" i="21"/>
  <c r="AM42" i="21"/>
  <c r="K42" i="21"/>
  <c r="J42" i="21"/>
  <c r="I42" i="21"/>
  <c r="AM41" i="21"/>
  <c r="K41" i="21"/>
  <c r="J41" i="21"/>
  <c r="I41" i="21"/>
  <c r="AM40" i="21"/>
  <c r="K40" i="21"/>
  <c r="J40" i="21"/>
  <c r="I40" i="21"/>
  <c r="AM39" i="21"/>
  <c r="K39" i="21"/>
  <c r="J39" i="21"/>
  <c r="I39" i="21"/>
  <c r="AM38" i="21"/>
  <c r="K38" i="21"/>
  <c r="J38" i="21"/>
  <c r="I38" i="21"/>
  <c r="AM37" i="21"/>
  <c r="K37" i="21"/>
  <c r="J37" i="21"/>
  <c r="I37" i="21"/>
  <c r="AM36" i="21"/>
  <c r="K36" i="21"/>
  <c r="J36" i="21"/>
  <c r="I36" i="21"/>
  <c r="AM35" i="21"/>
  <c r="K35" i="21"/>
  <c r="J35" i="21"/>
  <c r="I35" i="21"/>
  <c r="AM34" i="21"/>
  <c r="K34" i="21"/>
  <c r="J34" i="21"/>
  <c r="I34" i="21"/>
  <c r="AM33" i="21"/>
  <c r="K33" i="21"/>
  <c r="J33" i="21"/>
  <c r="I33" i="21"/>
  <c r="AM32" i="21"/>
  <c r="K32" i="21"/>
  <c r="J32" i="21"/>
  <c r="I32" i="21"/>
  <c r="AM31" i="21"/>
  <c r="K31" i="21"/>
  <c r="J31" i="21"/>
  <c r="I31" i="21"/>
  <c r="AM30" i="21"/>
  <c r="K30" i="21"/>
  <c r="J30" i="21"/>
  <c r="I30" i="21"/>
  <c r="AM29" i="21"/>
  <c r="K29" i="21"/>
  <c r="J29" i="21"/>
  <c r="I29" i="21"/>
  <c r="AM28" i="21"/>
  <c r="K28" i="21"/>
  <c r="J28" i="21"/>
  <c r="I28" i="21"/>
  <c r="AM27" i="21"/>
  <c r="K27" i="21"/>
  <c r="J27" i="21"/>
  <c r="I27" i="21"/>
  <c r="AM26" i="21"/>
  <c r="K26" i="21"/>
  <c r="J26" i="21"/>
  <c r="I26" i="21"/>
  <c r="AM25" i="21"/>
  <c r="K25" i="21"/>
  <c r="J25" i="21"/>
  <c r="I25" i="21"/>
  <c r="AM24" i="21"/>
  <c r="K24" i="21"/>
  <c r="J24" i="21"/>
  <c r="I24" i="21"/>
  <c r="AM23" i="21"/>
  <c r="K23" i="21"/>
  <c r="J23" i="21"/>
  <c r="I23" i="21"/>
  <c r="AM22" i="21"/>
  <c r="J22" i="21"/>
  <c r="I22" i="21"/>
  <c r="O124" i="21" l="1"/>
  <c r="X124" i="21" s="1"/>
  <c r="M124" i="21"/>
  <c r="L124" i="21"/>
  <c r="U103" i="21"/>
  <c r="AU103" i="21" s="1"/>
  <c r="AE124" i="21"/>
  <c r="AF124" i="21" s="1"/>
  <c r="U107" i="21"/>
  <c r="AP107" i="21" s="1"/>
  <c r="U124" i="21"/>
  <c r="V124" i="21"/>
  <c r="AJ124" i="21" s="1"/>
  <c r="L157" i="21"/>
  <c r="AE157" i="21"/>
  <c r="AF157" i="21" s="1"/>
  <c r="AE107" i="21"/>
  <c r="AF107" i="21" s="1"/>
  <c r="V107" i="21"/>
  <c r="AQ107" i="21" s="1"/>
  <c r="V157" i="21"/>
  <c r="BP157" i="21" s="1"/>
  <c r="O157" i="21"/>
  <c r="X157" i="21" s="1"/>
  <c r="M107" i="21"/>
  <c r="L107" i="21"/>
  <c r="BE157" i="21"/>
  <c r="S157" i="21"/>
  <c r="BJ157" i="21"/>
  <c r="AB157" i="21"/>
  <c r="AU157" i="21"/>
  <c r="T157" i="21"/>
  <c r="BO157" i="21"/>
  <c r="AI157" i="21"/>
  <c r="AP157" i="21"/>
  <c r="AZ157" i="21"/>
  <c r="AE103" i="21"/>
  <c r="AF103" i="21" s="1"/>
  <c r="V103" i="21"/>
  <c r="N157" i="21"/>
  <c r="M157" i="21"/>
  <c r="O103" i="21"/>
  <c r="X103" i="21" s="1"/>
  <c r="O107" i="21"/>
  <c r="X107" i="21" s="1"/>
  <c r="M103" i="21"/>
  <c r="L103" i="21"/>
  <c r="N154" i="21"/>
  <c r="V154" i="21"/>
  <c r="U154" i="21"/>
  <c r="BO154" i="21" s="1"/>
  <c r="O154" i="21"/>
  <c r="X154" i="21" s="1"/>
  <c r="O141" i="21"/>
  <c r="X141" i="21" s="1"/>
  <c r="U141" i="21"/>
  <c r="V141" i="21"/>
  <c r="AE141" i="21"/>
  <c r="AF141" i="21" s="1"/>
  <c r="M141" i="21"/>
  <c r="L141" i="21"/>
  <c r="N141" i="21"/>
  <c r="BE132" i="21"/>
  <c r="BJ132" i="21"/>
  <c r="O131" i="21"/>
  <c r="X131" i="21" s="1"/>
  <c r="U131" i="21"/>
  <c r="BO131" i="21" s="1"/>
  <c r="N131" i="21"/>
  <c r="M131" i="21"/>
  <c r="L131" i="21"/>
  <c r="M155" i="21"/>
  <c r="N155" i="21"/>
  <c r="AE155" i="21"/>
  <c r="AF155" i="21" s="1"/>
  <c r="O155" i="21"/>
  <c r="X155" i="21" s="1"/>
  <c r="U155" i="21"/>
  <c r="BO155" i="21" s="1"/>
  <c r="V155" i="21"/>
  <c r="BP155" i="21" s="1"/>
  <c r="L119" i="21"/>
  <c r="M119" i="21"/>
  <c r="N119" i="21"/>
  <c r="O119" i="21"/>
  <c r="X119" i="21" s="1"/>
  <c r="U119" i="21"/>
  <c r="BO119" i="21" s="1"/>
  <c r="V119" i="21"/>
  <c r="BP119" i="21" s="1"/>
  <c r="AE119" i="21"/>
  <c r="AF119" i="21" s="1"/>
  <c r="L154" i="21"/>
  <c r="AE154" i="21"/>
  <c r="AF154" i="21" s="1"/>
  <c r="M154" i="21"/>
  <c r="M5" i="21"/>
  <c r="L5" i="21"/>
  <c r="M6" i="21"/>
  <c r="L6" i="21"/>
  <c r="M7" i="21"/>
  <c r="L7" i="21"/>
  <c r="M8" i="21"/>
  <c r="L8" i="21"/>
  <c r="M9" i="21"/>
  <c r="L9" i="21"/>
  <c r="M11" i="21"/>
  <c r="L11" i="21"/>
  <c r="N10" i="21"/>
  <c r="M10" i="21"/>
  <c r="L12" i="21"/>
  <c r="M12" i="21"/>
  <c r="M17" i="21"/>
  <c r="L17" i="21"/>
  <c r="U76" i="21"/>
  <c r="BO76" i="21" s="1"/>
  <c r="V76" i="21"/>
  <c r="BP76" i="21" s="1"/>
  <c r="AE76" i="21"/>
  <c r="AF76" i="21" s="1"/>
  <c r="M55" i="21"/>
  <c r="N55" i="21"/>
  <c r="O55" i="21"/>
  <c r="X55" i="21" s="1"/>
  <c r="U55" i="21"/>
  <c r="M142" i="21"/>
  <c r="N142" i="21"/>
  <c r="O142" i="21"/>
  <c r="X142" i="21" s="1"/>
  <c r="U142" i="21"/>
  <c r="BO142" i="21" s="1"/>
  <c r="V142" i="21"/>
  <c r="BP142" i="21" s="1"/>
  <c r="AE142" i="21"/>
  <c r="AF142" i="21" s="1"/>
  <c r="L143" i="21"/>
  <c r="M143" i="21"/>
  <c r="N143" i="21"/>
  <c r="O143" i="21"/>
  <c r="X143" i="21" s="1"/>
  <c r="U143" i="21"/>
  <c r="BO143" i="21" s="1"/>
  <c r="V143" i="21"/>
  <c r="BP143" i="21" s="1"/>
  <c r="AE143" i="21"/>
  <c r="AF143" i="21" s="1"/>
  <c r="V90" i="21"/>
  <c r="BP90" i="21" s="1"/>
  <c r="M90" i="21"/>
  <c r="N90" i="21"/>
  <c r="O90" i="21"/>
  <c r="X90" i="21" s="1"/>
  <c r="U90" i="21"/>
  <c r="BO90" i="21" s="1"/>
  <c r="L90" i="21"/>
  <c r="AE90" i="21"/>
  <c r="AF90" i="21" s="1"/>
  <c r="V91" i="21"/>
  <c r="BP91" i="21" s="1"/>
  <c r="AE91" i="21"/>
  <c r="AF91" i="21" s="1"/>
  <c r="L92" i="21"/>
  <c r="M92" i="21"/>
  <c r="N92" i="21"/>
  <c r="O92" i="21"/>
  <c r="X92" i="21" s="1"/>
  <c r="U92" i="21"/>
  <c r="BO92" i="21" s="1"/>
  <c r="V92" i="21"/>
  <c r="BP92" i="21" s="1"/>
  <c r="AE92" i="21"/>
  <c r="AF92" i="21" s="1"/>
  <c r="V55" i="21"/>
  <c r="BP55" i="21" s="1"/>
  <c r="AE55" i="21"/>
  <c r="AF55" i="21" s="1"/>
  <c r="L144" i="21"/>
  <c r="M144" i="21"/>
  <c r="N144" i="21"/>
  <c r="O144" i="21"/>
  <c r="X144" i="21" s="1"/>
  <c r="U144" i="21"/>
  <c r="BO144" i="21" s="1"/>
  <c r="V144" i="21"/>
  <c r="BP144" i="21" s="1"/>
  <c r="AE144" i="21"/>
  <c r="AF144" i="21" s="1"/>
  <c r="L145" i="21"/>
  <c r="M145" i="21"/>
  <c r="N145" i="21"/>
  <c r="O145" i="21"/>
  <c r="X145" i="21" s="1"/>
  <c r="U145" i="21"/>
  <c r="BO145" i="21" s="1"/>
  <c r="V145" i="21"/>
  <c r="BP145" i="21" s="1"/>
  <c r="AE145" i="21"/>
  <c r="AF145" i="21" s="1"/>
  <c r="L146" i="21"/>
  <c r="M146" i="21"/>
  <c r="N146" i="21"/>
  <c r="O146" i="21"/>
  <c r="X146" i="21" s="1"/>
  <c r="U146" i="21"/>
  <c r="BO146" i="21" s="1"/>
  <c r="V146" i="21"/>
  <c r="BP146" i="21" s="1"/>
  <c r="AE146" i="21"/>
  <c r="AF146" i="21" s="1"/>
  <c r="O147" i="21"/>
  <c r="X147" i="21" s="1"/>
  <c r="M147" i="21"/>
  <c r="N147" i="21"/>
  <c r="L147" i="21"/>
  <c r="U147" i="21"/>
  <c r="BO147" i="21" s="1"/>
  <c r="V147" i="21"/>
  <c r="BP147" i="21" s="1"/>
  <c r="AE147" i="21"/>
  <c r="AF147" i="21" s="1"/>
  <c r="L148" i="21"/>
  <c r="M148" i="21"/>
  <c r="N148" i="21"/>
  <c r="O148" i="21"/>
  <c r="X148" i="21" s="1"/>
  <c r="U148" i="21"/>
  <c r="BO148" i="21" s="1"/>
  <c r="V148" i="21"/>
  <c r="BP148" i="21" s="1"/>
  <c r="AE148" i="21"/>
  <c r="AF148" i="21" s="1"/>
  <c r="L83" i="21"/>
  <c r="M83" i="21"/>
  <c r="N83" i="21"/>
  <c r="O83" i="21"/>
  <c r="X83" i="21" s="1"/>
  <c r="U83" i="21"/>
  <c r="BO83" i="21" s="1"/>
  <c r="V83" i="21"/>
  <c r="BP83" i="21" s="1"/>
  <c r="AE83" i="21"/>
  <c r="AF83" i="21" s="1"/>
  <c r="L84" i="21"/>
  <c r="M84" i="21"/>
  <c r="N84" i="21"/>
  <c r="O84" i="21"/>
  <c r="X84" i="21" s="1"/>
  <c r="U84" i="21"/>
  <c r="BO84" i="21" s="1"/>
  <c r="V84" i="21"/>
  <c r="BP84" i="21" s="1"/>
  <c r="AE84" i="21"/>
  <c r="AF84" i="21" s="1"/>
  <c r="V85" i="21"/>
  <c r="BP85" i="21" s="1"/>
  <c r="M85" i="21"/>
  <c r="N85" i="21"/>
  <c r="O85" i="21"/>
  <c r="X85" i="21" s="1"/>
  <c r="U85" i="21"/>
  <c r="BO85" i="21" s="1"/>
  <c r="L85" i="21"/>
  <c r="AE85" i="21"/>
  <c r="AF85" i="21" s="1"/>
  <c r="AE86" i="21"/>
  <c r="AF86" i="21" s="1"/>
  <c r="L86" i="21"/>
  <c r="M86" i="21"/>
  <c r="N86" i="21"/>
  <c r="O86" i="21"/>
  <c r="X86" i="21" s="1"/>
  <c r="U86" i="21"/>
  <c r="BO86" i="21" s="1"/>
  <c r="V86" i="21"/>
  <c r="BP86" i="21" s="1"/>
  <c r="N5" i="21"/>
  <c r="O5" i="21"/>
  <c r="X5" i="21" s="1"/>
  <c r="AE6" i="21"/>
  <c r="AF6" i="21" s="1"/>
  <c r="O6" i="21"/>
  <c r="X6" i="21" s="1"/>
  <c r="N6" i="21"/>
  <c r="O7" i="21"/>
  <c r="X7" i="21" s="1"/>
  <c r="N7" i="21"/>
  <c r="O8" i="21"/>
  <c r="X8" i="21" s="1"/>
  <c r="N8" i="21"/>
  <c r="O9" i="21"/>
  <c r="X9" i="21" s="1"/>
  <c r="N9" i="21"/>
  <c r="N11" i="21"/>
  <c r="O11" i="21"/>
  <c r="X11" i="21" s="1"/>
  <c r="N12" i="21"/>
  <c r="O12" i="21"/>
  <c r="X12" i="21" s="1"/>
  <c r="N13" i="21"/>
  <c r="O13" i="21"/>
  <c r="X13" i="21" s="1"/>
  <c r="M13" i="21"/>
  <c r="O16" i="21"/>
  <c r="X16" i="21" s="1"/>
  <c r="N16" i="21"/>
  <c r="M16" i="21"/>
  <c r="O18" i="21"/>
  <c r="X18" i="21" s="1"/>
  <c r="N18" i="21"/>
  <c r="M18" i="21"/>
  <c r="M19" i="21"/>
  <c r="N19" i="21"/>
  <c r="O19" i="21"/>
  <c r="X19" i="21" s="1"/>
  <c r="N20" i="21"/>
  <c r="M20" i="21"/>
  <c r="O20" i="21"/>
  <c r="X20" i="21" s="1"/>
  <c r="N21" i="21"/>
  <c r="M21" i="21"/>
  <c r="O21" i="21"/>
  <c r="X21" i="21" s="1"/>
  <c r="M156" i="21"/>
  <c r="N156" i="21"/>
  <c r="O156" i="21"/>
  <c r="X156" i="21" s="1"/>
  <c r="U156" i="21"/>
  <c r="V156" i="21"/>
  <c r="BP156" i="21" s="1"/>
  <c r="AE156" i="21"/>
  <c r="AF156" i="21" s="1"/>
  <c r="L156" i="21"/>
  <c r="L149" i="21"/>
  <c r="AE149" i="21"/>
  <c r="AF149" i="21" s="1"/>
  <c r="V149" i="21"/>
  <c r="BP149" i="21" s="1"/>
  <c r="U149" i="21"/>
  <c r="O149" i="21"/>
  <c r="X149" i="21" s="1"/>
  <c r="N149" i="21"/>
  <c r="M149" i="21"/>
  <c r="AE87" i="21"/>
  <c r="AF87" i="21" s="1"/>
  <c r="L87" i="21"/>
  <c r="M87" i="21"/>
  <c r="N87" i="21"/>
  <c r="O87" i="21"/>
  <c r="X87" i="21" s="1"/>
  <c r="U87" i="21"/>
  <c r="V87" i="21"/>
  <c r="BP87" i="21" s="1"/>
  <c r="AE88" i="21"/>
  <c r="AF88" i="21" s="1"/>
  <c r="V88" i="21"/>
  <c r="BP88" i="21" s="1"/>
  <c r="U88" i="21"/>
  <c r="O88" i="21"/>
  <c r="X88" i="21" s="1"/>
  <c r="N88" i="21"/>
  <c r="M88" i="21"/>
  <c r="L88" i="21"/>
  <c r="AE89" i="21"/>
  <c r="AF89" i="21" s="1"/>
  <c r="V89" i="21"/>
  <c r="BP89" i="21" s="1"/>
  <c r="U89" i="21"/>
  <c r="BO89" i="21" s="1"/>
  <c r="O89" i="21"/>
  <c r="X89" i="21" s="1"/>
  <c r="N89" i="21"/>
  <c r="M89" i="21"/>
  <c r="L89" i="21"/>
  <c r="AE131" i="21"/>
  <c r="AF131" i="21" s="1"/>
  <c r="V131" i="21"/>
  <c r="BP131" i="21" s="1"/>
  <c r="AE5" i="21"/>
  <c r="AF5" i="21" s="1"/>
  <c r="U5" i="21"/>
  <c r="BO5" i="21" s="1"/>
  <c r="V5" i="21"/>
  <c r="BP5" i="21" s="1"/>
  <c r="AE7" i="21"/>
  <c r="AF7" i="21" s="1"/>
  <c r="U7" i="21"/>
  <c r="BO7" i="21" s="1"/>
  <c r="V7" i="21"/>
  <c r="BP7" i="21" s="1"/>
  <c r="AE8" i="21"/>
  <c r="AF8" i="21" s="1"/>
  <c r="U8" i="21"/>
  <c r="BO8" i="21" s="1"/>
  <c r="V8" i="21"/>
  <c r="BP8" i="21" s="1"/>
  <c r="U91" i="21"/>
  <c r="M91" i="21"/>
  <c r="O91" i="21"/>
  <c r="X91" i="21" s="1"/>
  <c r="L91" i="21"/>
  <c r="N91" i="21"/>
  <c r="L76" i="21"/>
  <c r="M76" i="21"/>
  <c r="N76" i="21"/>
  <c r="AE21" i="21"/>
  <c r="AF21" i="21" s="1"/>
  <c r="U21" i="21"/>
  <c r="BO21" i="21" s="1"/>
  <c r="V21" i="21"/>
  <c r="BP21" i="21" s="1"/>
  <c r="AE13" i="21"/>
  <c r="AF13" i="21" s="1"/>
  <c r="U13" i="21"/>
  <c r="BO13" i="21" s="1"/>
  <c r="V13" i="21"/>
  <c r="BP13" i="21" s="1"/>
  <c r="AE12" i="21"/>
  <c r="AF12" i="21" s="1"/>
  <c r="U12" i="21"/>
  <c r="BO12" i="21" s="1"/>
  <c r="V12" i="21"/>
  <c r="BP12" i="21" s="1"/>
  <c r="AE20" i="21"/>
  <c r="AF20" i="21" s="1"/>
  <c r="V20" i="21"/>
  <c r="BP20" i="21" s="1"/>
  <c r="U20" i="21"/>
  <c r="BO20" i="21" s="1"/>
  <c r="AE19" i="21"/>
  <c r="AF19" i="21" s="1"/>
  <c r="U19" i="21"/>
  <c r="BO19" i="21" s="1"/>
  <c r="V19" i="21"/>
  <c r="BP19" i="21" s="1"/>
  <c r="AE11" i="21"/>
  <c r="AF11" i="21" s="1"/>
  <c r="U11" i="21"/>
  <c r="BO11" i="21" s="1"/>
  <c r="V11" i="21"/>
  <c r="BP11" i="21" s="1"/>
  <c r="AE18" i="21"/>
  <c r="AF18" i="21" s="1"/>
  <c r="U18" i="21"/>
  <c r="BO18" i="21" s="1"/>
  <c r="V18" i="21"/>
  <c r="BP18" i="21" s="1"/>
  <c r="AE16" i="21"/>
  <c r="AF16" i="21" s="1"/>
  <c r="U16" i="21"/>
  <c r="BO16" i="21" s="1"/>
  <c r="V16" i="21"/>
  <c r="BP16" i="21" s="1"/>
  <c r="AE10" i="21"/>
  <c r="AF10" i="21" s="1"/>
  <c r="U10" i="21"/>
  <c r="BO10" i="21" s="1"/>
  <c r="V10" i="21"/>
  <c r="BP10" i="21" s="1"/>
  <c r="O10" i="21"/>
  <c r="X10" i="21" s="1"/>
  <c r="AE17" i="21"/>
  <c r="AF17" i="21" s="1"/>
  <c r="V17" i="21"/>
  <c r="BP17" i="21" s="1"/>
  <c r="N17" i="21"/>
  <c r="O17" i="21"/>
  <c r="X17" i="21" s="1"/>
  <c r="U17" i="21"/>
  <c r="BO17" i="21" s="1"/>
  <c r="AE15" i="21"/>
  <c r="AF15" i="21" s="1"/>
  <c r="U15" i="21"/>
  <c r="BO15" i="21" s="1"/>
  <c r="V15" i="21"/>
  <c r="BP15" i="21" s="1"/>
  <c r="L15" i="21"/>
  <c r="M15" i="21"/>
  <c r="N15" i="21"/>
  <c r="O15" i="21"/>
  <c r="X15" i="21" s="1"/>
  <c r="AE9" i="21"/>
  <c r="AF9" i="21" s="1"/>
  <c r="U9" i="21"/>
  <c r="BO9" i="21" s="1"/>
  <c r="V9" i="21"/>
  <c r="BP9" i="21" s="1"/>
  <c r="AE14" i="21"/>
  <c r="AF14" i="21" s="1"/>
  <c r="U14" i="21"/>
  <c r="BO14" i="21" s="1"/>
  <c r="V14" i="21"/>
  <c r="BP14" i="21" s="1"/>
  <c r="L14" i="21"/>
  <c r="M14" i="21"/>
  <c r="N14" i="21"/>
  <c r="O14" i="21"/>
  <c r="X14" i="21" s="1"/>
  <c r="U6" i="21"/>
  <c r="T6" i="21" s="1"/>
  <c r="BN6" i="21" s="1"/>
  <c r="V6" i="21"/>
  <c r="BP6" i="21" s="1"/>
  <c r="L22" i="21"/>
  <c r="M22" i="21"/>
  <c r="O22" i="21"/>
  <c r="X22" i="21" s="1"/>
  <c r="N22" i="21"/>
  <c r="U130" i="21"/>
  <c r="BO130" i="21" s="1"/>
  <c r="V130" i="21"/>
  <c r="BP130" i="21" s="1"/>
  <c r="O130" i="21"/>
  <c r="X130" i="21" s="1"/>
  <c r="L130" i="21"/>
  <c r="AE130" i="21"/>
  <c r="AF130" i="21" s="1"/>
  <c r="N130" i="21"/>
  <c r="M130" i="21"/>
  <c r="AE28" i="21"/>
  <c r="AF28" i="21" s="1"/>
  <c r="V28" i="21"/>
  <c r="BP28" i="21" s="1"/>
  <c r="U28" i="21"/>
  <c r="BO28" i="21" s="1"/>
  <c r="O28" i="21"/>
  <c r="X28" i="21" s="1"/>
  <c r="V160" i="21"/>
  <c r="BP160" i="21" s="1"/>
  <c r="O160" i="21"/>
  <c r="X160" i="21" s="1"/>
  <c r="N160" i="21"/>
  <c r="M160" i="21"/>
  <c r="L160" i="21"/>
  <c r="AE160" i="21"/>
  <c r="AF160" i="21" s="1"/>
  <c r="U160" i="21"/>
  <c r="BO160" i="21" s="1"/>
  <c r="AE159" i="21"/>
  <c r="AF159" i="21" s="1"/>
  <c r="V159" i="21"/>
  <c r="BP159" i="21" s="1"/>
  <c r="U159" i="21"/>
  <c r="BO159" i="21" s="1"/>
  <c r="O159" i="21"/>
  <c r="X159" i="21" s="1"/>
  <c r="N159" i="21"/>
  <c r="M159" i="21"/>
  <c r="L159" i="21"/>
  <c r="AE158" i="21"/>
  <c r="AF158" i="21" s="1"/>
  <c r="V158" i="21"/>
  <c r="BP158" i="21" s="1"/>
  <c r="U158" i="21"/>
  <c r="BO158" i="21" s="1"/>
  <c r="O158" i="21"/>
  <c r="X158" i="21" s="1"/>
  <c r="N158" i="21"/>
  <c r="M158" i="21"/>
  <c r="L158" i="21"/>
  <c r="AE153" i="21"/>
  <c r="AF153" i="21" s="1"/>
  <c r="V153" i="21"/>
  <c r="BP153" i="21" s="1"/>
  <c r="U153" i="21"/>
  <c r="BO153" i="21" s="1"/>
  <c r="O153" i="21"/>
  <c r="X153" i="21" s="1"/>
  <c r="N153" i="21"/>
  <c r="M153" i="21"/>
  <c r="L153" i="21"/>
  <c r="AE152" i="21"/>
  <c r="AF152" i="21" s="1"/>
  <c r="V152" i="21"/>
  <c r="BP152" i="21" s="1"/>
  <c r="U152" i="21"/>
  <c r="BO152" i="21" s="1"/>
  <c r="O152" i="21"/>
  <c r="X152" i="21" s="1"/>
  <c r="M152" i="21"/>
  <c r="L152" i="21"/>
  <c r="N152" i="21"/>
  <c r="AE151" i="21"/>
  <c r="AF151" i="21" s="1"/>
  <c r="V151" i="21"/>
  <c r="BP151" i="21" s="1"/>
  <c r="U151" i="21"/>
  <c r="BO151" i="21" s="1"/>
  <c r="O151" i="21"/>
  <c r="X151" i="21" s="1"/>
  <c r="N151" i="21"/>
  <c r="M151" i="21"/>
  <c r="L151" i="21"/>
  <c r="AE150" i="21"/>
  <c r="AF150" i="21" s="1"/>
  <c r="V150" i="21"/>
  <c r="BP150" i="21" s="1"/>
  <c r="U150" i="21"/>
  <c r="BO150" i="21" s="1"/>
  <c r="O150" i="21"/>
  <c r="X150" i="21" s="1"/>
  <c r="N150" i="21"/>
  <c r="M150" i="21"/>
  <c r="L150" i="21"/>
  <c r="N140" i="21"/>
  <c r="AE140" i="21"/>
  <c r="AF140" i="21" s="1"/>
  <c r="V140" i="21"/>
  <c r="BP140" i="21" s="1"/>
  <c r="U140" i="21"/>
  <c r="BO140" i="21" s="1"/>
  <c r="O140" i="21"/>
  <c r="X140" i="21" s="1"/>
  <c r="L140" i="21"/>
  <c r="M140" i="21"/>
  <c r="AE139" i="21"/>
  <c r="AF139" i="21" s="1"/>
  <c r="V139" i="21"/>
  <c r="BP139" i="21" s="1"/>
  <c r="U139" i="21"/>
  <c r="BO139" i="21" s="1"/>
  <c r="O139" i="21"/>
  <c r="X139" i="21" s="1"/>
  <c r="N139" i="21"/>
  <c r="M139" i="21"/>
  <c r="L139" i="21"/>
  <c r="AE138" i="21"/>
  <c r="AF138" i="21" s="1"/>
  <c r="V138" i="21"/>
  <c r="BP138" i="21" s="1"/>
  <c r="U138" i="21"/>
  <c r="BO138" i="21" s="1"/>
  <c r="O138" i="21"/>
  <c r="X138" i="21" s="1"/>
  <c r="N138" i="21"/>
  <c r="M138" i="21"/>
  <c r="L138" i="21"/>
  <c r="M137" i="21"/>
  <c r="L137" i="21"/>
  <c r="AE137" i="21"/>
  <c r="AF137" i="21" s="1"/>
  <c r="V137" i="21"/>
  <c r="BP137" i="21" s="1"/>
  <c r="U137" i="21"/>
  <c r="BO137" i="21" s="1"/>
  <c r="O137" i="21"/>
  <c r="X137" i="21" s="1"/>
  <c r="N137" i="21"/>
  <c r="O136" i="21"/>
  <c r="X136" i="21" s="1"/>
  <c r="U136" i="21"/>
  <c r="BO136" i="21" s="1"/>
  <c r="M136" i="21"/>
  <c r="N136" i="21"/>
  <c r="V136" i="21"/>
  <c r="BP136" i="21" s="1"/>
  <c r="L136" i="21"/>
  <c r="AE136" i="21"/>
  <c r="AF136" i="21" s="1"/>
  <c r="AE135" i="21"/>
  <c r="AF135" i="21" s="1"/>
  <c r="V135" i="21"/>
  <c r="BP135" i="21" s="1"/>
  <c r="U135" i="21"/>
  <c r="BO135" i="21" s="1"/>
  <c r="O135" i="21"/>
  <c r="X135" i="21" s="1"/>
  <c r="N135" i="21"/>
  <c r="M135" i="21"/>
  <c r="L135" i="21"/>
  <c r="N134" i="21"/>
  <c r="U134" i="21"/>
  <c r="BO134" i="21" s="1"/>
  <c r="V134" i="21"/>
  <c r="BP134" i="21" s="1"/>
  <c r="AE134" i="21"/>
  <c r="AF134" i="21" s="1"/>
  <c r="O134" i="21"/>
  <c r="X134" i="21" s="1"/>
  <c r="L134" i="21"/>
  <c r="M134" i="21"/>
  <c r="AE133" i="21"/>
  <c r="AF133" i="21" s="1"/>
  <c r="V133" i="21"/>
  <c r="BP133" i="21" s="1"/>
  <c r="U133" i="21"/>
  <c r="BO133" i="21" s="1"/>
  <c r="O133" i="21"/>
  <c r="X133" i="21" s="1"/>
  <c r="N133" i="21"/>
  <c r="M133" i="21"/>
  <c r="L133" i="21"/>
  <c r="S132" i="21"/>
  <c r="AP132" i="21"/>
  <c r="AI132" i="21"/>
  <c r="AB132" i="21"/>
  <c r="AU132" i="21"/>
  <c r="AZ132" i="21"/>
  <c r="T132" i="21"/>
  <c r="BN132" i="21" s="1"/>
  <c r="AE132" i="21"/>
  <c r="AF132" i="21" s="1"/>
  <c r="V132" i="21"/>
  <c r="BP132" i="21" s="1"/>
  <c r="L132" i="21"/>
  <c r="M132" i="21"/>
  <c r="N132" i="21"/>
  <c r="O132" i="21"/>
  <c r="X132" i="21" s="1"/>
  <c r="O129" i="21"/>
  <c r="X129" i="21" s="1"/>
  <c r="AE129" i="21"/>
  <c r="AF129" i="21" s="1"/>
  <c r="V129" i="21"/>
  <c r="BP129" i="21" s="1"/>
  <c r="N129" i="21"/>
  <c r="M129" i="21"/>
  <c r="U129" i="21"/>
  <c r="BO129" i="21" s="1"/>
  <c r="L129" i="21"/>
  <c r="V128" i="21"/>
  <c r="BP128" i="21" s="1"/>
  <c r="M128" i="21"/>
  <c r="AE128" i="21"/>
  <c r="AF128" i="21" s="1"/>
  <c r="U128" i="21"/>
  <c r="BO128" i="21" s="1"/>
  <c r="O128" i="21"/>
  <c r="X128" i="21" s="1"/>
  <c r="N128" i="21"/>
  <c r="L128" i="21"/>
  <c r="AE127" i="21"/>
  <c r="AF127" i="21" s="1"/>
  <c r="V127" i="21"/>
  <c r="BP127" i="21" s="1"/>
  <c r="U127" i="21"/>
  <c r="BO127" i="21" s="1"/>
  <c r="L127" i="21"/>
  <c r="N127" i="21"/>
  <c r="M127" i="21"/>
  <c r="O127" i="21"/>
  <c r="X127" i="21" s="1"/>
  <c r="V126" i="21"/>
  <c r="BP126" i="21" s="1"/>
  <c r="L126" i="21"/>
  <c r="M126" i="21"/>
  <c r="O126" i="21"/>
  <c r="X126" i="21" s="1"/>
  <c r="AE126" i="21"/>
  <c r="AF126" i="21" s="1"/>
  <c r="U126" i="21"/>
  <c r="BO126" i="21" s="1"/>
  <c r="N126" i="21"/>
  <c r="U125" i="21"/>
  <c r="BO125" i="21" s="1"/>
  <c r="V125" i="21"/>
  <c r="BP125" i="21" s="1"/>
  <c r="O125" i="21"/>
  <c r="X125" i="21" s="1"/>
  <c r="M125" i="21"/>
  <c r="N125" i="21"/>
  <c r="L125" i="21"/>
  <c r="AE125" i="21"/>
  <c r="AF125" i="21" s="1"/>
  <c r="L123" i="21"/>
  <c r="N123" i="21"/>
  <c r="U123" i="21"/>
  <c r="BO123" i="21" s="1"/>
  <c r="V123" i="21"/>
  <c r="BP123" i="21" s="1"/>
  <c r="AE123" i="21"/>
  <c r="AF123" i="21" s="1"/>
  <c r="M123" i="21"/>
  <c r="AE122" i="21"/>
  <c r="AF122" i="21" s="1"/>
  <c r="L122" i="21"/>
  <c r="M122" i="21"/>
  <c r="N122" i="21"/>
  <c r="U122" i="21"/>
  <c r="BO122" i="21" s="1"/>
  <c r="V122" i="21"/>
  <c r="BP122" i="21" s="1"/>
  <c r="O122" i="21"/>
  <c r="X122" i="21" s="1"/>
  <c r="O121" i="21"/>
  <c r="X121" i="21" s="1"/>
  <c r="U121" i="21"/>
  <c r="BO121" i="21" s="1"/>
  <c r="V121" i="21"/>
  <c r="BP121" i="21" s="1"/>
  <c r="AE121" i="21"/>
  <c r="AF121" i="21" s="1"/>
  <c r="N121" i="21"/>
  <c r="M121" i="21"/>
  <c r="L121" i="21"/>
  <c r="N120" i="21"/>
  <c r="L120" i="21"/>
  <c r="AE120" i="21"/>
  <c r="AF120" i="21" s="1"/>
  <c r="V120" i="21"/>
  <c r="BP120" i="21" s="1"/>
  <c r="U120" i="21"/>
  <c r="BO120" i="21" s="1"/>
  <c r="O120" i="21"/>
  <c r="X120" i="21" s="1"/>
  <c r="M120" i="21"/>
  <c r="U118" i="21"/>
  <c r="BO118" i="21" s="1"/>
  <c r="O118" i="21"/>
  <c r="X118" i="21" s="1"/>
  <c r="N118" i="21"/>
  <c r="L118" i="21"/>
  <c r="M118" i="21"/>
  <c r="V118" i="21"/>
  <c r="BP118" i="21" s="1"/>
  <c r="AE118" i="21"/>
  <c r="AF118" i="21" s="1"/>
  <c r="O117" i="21"/>
  <c r="X117" i="21" s="1"/>
  <c r="L117" i="21"/>
  <c r="AE117" i="21"/>
  <c r="AF117" i="21" s="1"/>
  <c r="V117" i="21"/>
  <c r="BP117" i="21" s="1"/>
  <c r="M117" i="21"/>
  <c r="U117" i="21"/>
  <c r="BO117" i="21" s="1"/>
  <c r="N117" i="21"/>
  <c r="M116" i="21"/>
  <c r="V116" i="21"/>
  <c r="BP116" i="21" s="1"/>
  <c r="N116" i="21"/>
  <c r="L116" i="21"/>
  <c r="O116" i="21"/>
  <c r="X116" i="21" s="1"/>
  <c r="U116" i="21"/>
  <c r="BO116" i="21" s="1"/>
  <c r="AE116" i="21"/>
  <c r="AF116" i="21" s="1"/>
  <c r="L115" i="21"/>
  <c r="O115" i="21"/>
  <c r="X115" i="21" s="1"/>
  <c r="U115" i="21"/>
  <c r="BO115" i="21" s="1"/>
  <c r="V115" i="21"/>
  <c r="BP115" i="21" s="1"/>
  <c r="AE115" i="21"/>
  <c r="AF115" i="21" s="1"/>
  <c r="N115" i="21"/>
  <c r="M115" i="21"/>
  <c r="M114" i="21"/>
  <c r="AE114" i="21"/>
  <c r="AF114" i="21" s="1"/>
  <c r="V114" i="21"/>
  <c r="BP114" i="21" s="1"/>
  <c r="L114" i="21"/>
  <c r="N114" i="21"/>
  <c r="U114" i="21"/>
  <c r="BO114" i="21" s="1"/>
  <c r="O114" i="21"/>
  <c r="X114" i="21" s="1"/>
  <c r="V113" i="21"/>
  <c r="BP113" i="21" s="1"/>
  <c r="AE113" i="21"/>
  <c r="AF113" i="21" s="1"/>
  <c r="N113" i="21"/>
  <c r="L113" i="21"/>
  <c r="M113" i="21"/>
  <c r="O113" i="21"/>
  <c r="X113" i="21" s="1"/>
  <c r="U113" i="21"/>
  <c r="BO113" i="21" s="1"/>
  <c r="AE112" i="21"/>
  <c r="AF112" i="21" s="1"/>
  <c r="O112" i="21"/>
  <c r="X112" i="21" s="1"/>
  <c r="U112" i="21"/>
  <c r="BO112" i="21" s="1"/>
  <c r="L112" i="21"/>
  <c r="V112" i="21"/>
  <c r="BP112" i="21" s="1"/>
  <c r="M112" i="21"/>
  <c r="N112" i="21"/>
  <c r="AE111" i="21"/>
  <c r="AF111" i="21" s="1"/>
  <c r="M111" i="21"/>
  <c r="V111" i="21"/>
  <c r="BP111" i="21" s="1"/>
  <c r="O111" i="21"/>
  <c r="X111" i="21" s="1"/>
  <c r="U111" i="21"/>
  <c r="BO111" i="21" s="1"/>
  <c r="N111" i="21"/>
  <c r="L111" i="21"/>
  <c r="M110" i="21"/>
  <c r="U110" i="21"/>
  <c r="BO110" i="21" s="1"/>
  <c r="AE110" i="21"/>
  <c r="AF110" i="21" s="1"/>
  <c r="L110" i="21"/>
  <c r="N110" i="21"/>
  <c r="O110" i="21"/>
  <c r="X110" i="21" s="1"/>
  <c r="V110" i="21"/>
  <c r="BP110" i="21" s="1"/>
  <c r="V109" i="21"/>
  <c r="BP109" i="21" s="1"/>
  <c r="AE109" i="21"/>
  <c r="AF109" i="21" s="1"/>
  <c r="N109" i="21"/>
  <c r="O109" i="21"/>
  <c r="X109" i="21" s="1"/>
  <c r="L109" i="21"/>
  <c r="M109" i="21"/>
  <c r="U109" i="21"/>
  <c r="BO109" i="21" s="1"/>
  <c r="N108" i="21"/>
  <c r="M108" i="21"/>
  <c r="L108" i="21"/>
  <c r="U108" i="21"/>
  <c r="BO108" i="21" s="1"/>
  <c r="V108" i="21"/>
  <c r="BP108" i="21" s="1"/>
  <c r="AE108" i="21"/>
  <c r="AF108" i="21" s="1"/>
  <c r="O108" i="21"/>
  <c r="X108" i="21" s="1"/>
  <c r="U106" i="21"/>
  <c r="BO106" i="21" s="1"/>
  <c r="L106" i="21"/>
  <c r="O106" i="21"/>
  <c r="X106" i="21" s="1"/>
  <c r="AE106" i="21"/>
  <c r="AF106" i="21" s="1"/>
  <c r="M106" i="21"/>
  <c r="V106" i="21"/>
  <c r="BP106" i="21" s="1"/>
  <c r="N106" i="21"/>
  <c r="M105" i="21"/>
  <c r="N105" i="21"/>
  <c r="O105" i="21"/>
  <c r="X105" i="21" s="1"/>
  <c r="U105" i="21"/>
  <c r="BO105" i="21" s="1"/>
  <c r="AE105" i="21"/>
  <c r="AF105" i="21" s="1"/>
  <c r="V105" i="21"/>
  <c r="BP105" i="21" s="1"/>
  <c r="L105" i="21"/>
  <c r="AE104" i="21"/>
  <c r="AF104" i="21" s="1"/>
  <c r="O104" i="21"/>
  <c r="X104" i="21" s="1"/>
  <c r="N104" i="21"/>
  <c r="M104" i="21"/>
  <c r="L104" i="21"/>
  <c r="U104" i="21"/>
  <c r="BO104" i="21" s="1"/>
  <c r="V104" i="21"/>
  <c r="BP104" i="21" s="1"/>
  <c r="AE102" i="21"/>
  <c r="AF102" i="21" s="1"/>
  <c r="L102" i="21"/>
  <c r="M102" i="21"/>
  <c r="N102" i="21"/>
  <c r="O102" i="21"/>
  <c r="X102" i="21" s="1"/>
  <c r="U102" i="21"/>
  <c r="BO102" i="21" s="1"/>
  <c r="V102" i="21"/>
  <c r="BP102" i="21" s="1"/>
  <c r="L101" i="21"/>
  <c r="M101" i="21"/>
  <c r="N101" i="21"/>
  <c r="O101" i="21"/>
  <c r="X101" i="21" s="1"/>
  <c r="U101" i="21"/>
  <c r="BO101" i="21" s="1"/>
  <c r="V101" i="21"/>
  <c r="BP101" i="21" s="1"/>
  <c r="AE101" i="21"/>
  <c r="AF101" i="21" s="1"/>
  <c r="O100" i="21"/>
  <c r="X100" i="21" s="1"/>
  <c r="L100" i="21"/>
  <c r="M100" i="21"/>
  <c r="N100" i="21"/>
  <c r="AE100" i="21"/>
  <c r="AF100" i="21" s="1"/>
  <c r="V100" i="21"/>
  <c r="BP100" i="21" s="1"/>
  <c r="U100" i="21"/>
  <c r="BO100" i="21" s="1"/>
  <c r="V99" i="21"/>
  <c r="BP99" i="21" s="1"/>
  <c r="U99" i="21"/>
  <c r="BO99" i="21" s="1"/>
  <c r="O99" i="21"/>
  <c r="X99" i="21" s="1"/>
  <c r="N99" i="21"/>
  <c r="M99" i="21"/>
  <c r="L99" i="21"/>
  <c r="AE99" i="21"/>
  <c r="AF99" i="21" s="1"/>
  <c r="AE98" i="21"/>
  <c r="AF98" i="21" s="1"/>
  <c r="V98" i="21"/>
  <c r="BP98" i="21" s="1"/>
  <c r="U98" i="21"/>
  <c r="BO98" i="21" s="1"/>
  <c r="O98" i="21"/>
  <c r="X98" i="21" s="1"/>
  <c r="N98" i="21"/>
  <c r="M98" i="21"/>
  <c r="L98" i="21"/>
  <c r="N97" i="21"/>
  <c r="M97" i="21"/>
  <c r="L97" i="21"/>
  <c r="AE97" i="21"/>
  <c r="AF97" i="21" s="1"/>
  <c r="V97" i="21"/>
  <c r="BP97" i="21" s="1"/>
  <c r="U97" i="21"/>
  <c r="BO97" i="21" s="1"/>
  <c r="O97" i="21"/>
  <c r="X97" i="21" s="1"/>
  <c r="AE96" i="21"/>
  <c r="AF96" i="21" s="1"/>
  <c r="V96" i="21"/>
  <c r="BP96" i="21" s="1"/>
  <c r="U96" i="21"/>
  <c r="BO96" i="21" s="1"/>
  <c r="O96" i="21"/>
  <c r="X96" i="21" s="1"/>
  <c r="N96" i="21"/>
  <c r="M96" i="21"/>
  <c r="L96" i="21"/>
  <c r="AE95" i="21"/>
  <c r="AF95" i="21" s="1"/>
  <c r="V95" i="21"/>
  <c r="BP95" i="21" s="1"/>
  <c r="U95" i="21"/>
  <c r="BO95" i="21" s="1"/>
  <c r="O95" i="21"/>
  <c r="X95" i="21" s="1"/>
  <c r="N95" i="21"/>
  <c r="M95" i="21"/>
  <c r="L95" i="21"/>
  <c r="N94" i="21"/>
  <c r="M94" i="21"/>
  <c r="L94" i="21"/>
  <c r="AE94" i="21"/>
  <c r="AF94" i="21" s="1"/>
  <c r="V94" i="21"/>
  <c r="BP94" i="21" s="1"/>
  <c r="U94" i="21"/>
  <c r="BO94" i="21" s="1"/>
  <c r="O94" i="21"/>
  <c r="X94" i="21" s="1"/>
  <c r="AE93" i="21"/>
  <c r="AF93" i="21" s="1"/>
  <c r="V93" i="21"/>
  <c r="BP93" i="21" s="1"/>
  <c r="U93" i="21"/>
  <c r="BO93" i="21" s="1"/>
  <c r="O93" i="21"/>
  <c r="X93" i="21" s="1"/>
  <c r="N93" i="21"/>
  <c r="M93" i="21"/>
  <c r="L93" i="21"/>
  <c r="AE82" i="21"/>
  <c r="AF82" i="21" s="1"/>
  <c r="V82" i="21"/>
  <c r="BP82" i="21" s="1"/>
  <c r="U82" i="21"/>
  <c r="BO82" i="21" s="1"/>
  <c r="O82" i="21"/>
  <c r="X82" i="21" s="1"/>
  <c r="N82" i="21"/>
  <c r="M82" i="21"/>
  <c r="L82" i="21"/>
  <c r="AE81" i="21"/>
  <c r="AF81" i="21" s="1"/>
  <c r="V81" i="21"/>
  <c r="BP81" i="21" s="1"/>
  <c r="U81" i="21"/>
  <c r="BO81" i="21" s="1"/>
  <c r="O81" i="21"/>
  <c r="X81" i="21" s="1"/>
  <c r="N81" i="21"/>
  <c r="M81" i="21"/>
  <c r="L81" i="21"/>
  <c r="V80" i="21"/>
  <c r="BP80" i="21" s="1"/>
  <c r="N80" i="21"/>
  <c r="M80" i="21"/>
  <c r="O80" i="21"/>
  <c r="X80" i="21" s="1"/>
  <c r="L80" i="21"/>
  <c r="U80" i="21"/>
  <c r="BO80" i="21" s="1"/>
  <c r="AE80" i="21"/>
  <c r="AF80" i="21" s="1"/>
  <c r="AE79" i="21"/>
  <c r="AF79" i="21" s="1"/>
  <c r="V79" i="21"/>
  <c r="BP79" i="21" s="1"/>
  <c r="U79" i="21"/>
  <c r="BO79" i="21" s="1"/>
  <c r="O79" i="21"/>
  <c r="X79" i="21" s="1"/>
  <c r="N79" i="21"/>
  <c r="M79" i="21"/>
  <c r="L79" i="21"/>
  <c r="AE78" i="21"/>
  <c r="AF78" i="21" s="1"/>
  <c r="V78" i="21"/>
  <c r="BP78" i="21" s="1"/>
  <c r="U78" i="21"/>
  <c r="BO78" i="21" s="1"/>
  <c r="O78" i="21"/>
  <c r="X78" i="21" s="1"/>
  <c r="N78" i="21"/>
  <c r="M78" i="21"/>
  <c r="L78" i="21"/>
  <c r="L77" i="21"/>
  <c r="V77" i="21"/>
  <c r="BP77" i="21" s="1"/>
  <c r="N77" i="21"/>
  <c r="M77" i="21"/>
  <c r="O77" i="21"/>
  <c r="X77" i="21" s="1"/>
  <c r="U77" i="21"/>
  <c r="BO77" i="21" s="1"/>
  <c r="AE77" i="21"/>
  <c r="AF77" i="21" s="1"/>
  <c r="L75" i="21"/>
  <c r="M75" i="21"/>
  <c r="N75" i="21"/>
  <c r="O75" i="21"/>
  <c r="X75" i="21" s="1"/>
  <c r="U75" i="21"/>
  <c r="BO75" i="21" s="1"/>
  <c r="V75" i="21"/>
  <c r="BP75" i="21" s="1"/>
  <c r="AE75" i="21"/>
  <c r="AF75" i="21" s="1"/>
  <c r="L74" i="21"/>
  <c r="M74" i="21"/>
  <c r="N74" i="21"/>
  <c r="O74" i="21"/>
  <c r="X74" i="21" s="1"/>
  <c r="U74" i="21"/>
  <c r="BO74" i="21" s="1"/>
  <c r="V74" i="21"/>
  <c r="BP74" i="21" s="1"/>
  <c r="AE74" i="21"/>
  <c r="AF74" i="21" s="1"/>
  <c r="V73" i="21"/>
  <c r="BP73" i="21" s="1"/>
  <c r="N73" i="21"/>
  <c r="M73" i="21"/>
  <c r="O73" i="21"/>
  <c r="X73" i="21" s="1"/>
  <c r="L73" i="21"/>
  <c r="U73" i="21"/>
  <c r="BO73" i="21" s="1"/>
  <c r="AE73" i="21"/>
  <c r="AF73" i="21" s="1"/>
  <c r="AE72" i="21"/>
  <c r="AF72" i="21" s="1"/>
  <c r="V72" i="21"/>
  <c r="BP72" i="21" s="1"/>
  <c r="U72" i="21"/>
  <c r="BO72" i="21" s="1"/>
  <c r="O72" i="21"/>
  <c r="X72" i="21" s="1"/>
  <c r="N72" i="21"/>
  <c r="M72" i="21"/>
  <c r="L72" i="21"/>
  <c r="AE71" i="21"/>
  <c r="AF71" i="21" s="1"/>
  <c r="V71" i="21"/>
  <c r="BP71" i="21" s="1"/>
  <c r="U71" i="21"/>
  <c r="BO71" i="21" s="1"/>
  <c r="O71" i="21"/>
  <c r="X71" i="21" s="1"/>
  <c r="N71" i="21"/>
  <c r="M71" i="21"/>
  <c r="L71" i="21"/>
  <c r="V70" i="21"/>
  <c r="BP70" i="21" s="1"/>
  <c r="U70" i="21"/>
  <c r="BO70" i="21" s="1"/>
  <c r="O70" i="21"/>
  <c r="X70" i="21" s="1"/>
  <c r="N70" i="21"/>
  <c r="M70" i="21"/>
  <c r="L70" i="21"/>
  <c r="AE70" i="21"/>
  <c r="AF70" i="21" s="1"/>
  <c r="AE69" i="21"/>
  <c r="AF69" i="21" s="1"/>
  <c r="V69" i="21"/>
  <c r="BP69" i="21" s="1"/>
  <c r="U69" i="21"/>
  <c r="BO69" i="21" s="1"/>
  <c r="O69" i="21"/>
  <c r="X69" i="21" s="1"/>
  <c r="N69" i="21"/>
  <c r="M69" i="21"/>
  <c r="L69" i="21"/>
  <c r="AE68" i="21"/>
  <c r="AF68" i="21" s="1"/>
  <c r="V68" i="21"/>
  <c r="BP68" i="21" s="1"/>
  <c r="U68" i="21"/>
  <c r="BO68" i="21" s="1"/>
  <c r="O68" i="21"/>
  <c r="X68" i="21" s="1"/>
  <c r="N68" i="21"/>
  <c r="M68" i="21"/>
  <c r="L68" i="21"/>
  <c r="M67" i="21"/>
  <c r="L67" i="21"/>
  <c r="N67" i="21"/>
  <c r="O67" i="21"/>
  <c r="X67" i="21" s="1"/>
  <c r="U67" i="21"/>
  <c r="BO67" i="21" s="1"/>
  <c r="V67" i="21"/>
  <c r="BP67" i="21" s="1"/>
  <c r="AE67" i="21"/>
  <c r="AF67" i="21" s="1"/>
  <c r="U66" i="21"/>
  <c r="BO66" i="21" s="1"/>
  <c r="L66" i="21"/>
  <c r="M66" i="21"/>
  <c r="N66" i="21"/>
  <c r="O66" i="21"/>
  <c r="X66" i="21" s="1"/>
  <c r="V66" i="21"/>
  <c r="BP66" i="21" s="1"/>
  <c r="AE66" i="21"/>
  <c r="AF66" i="21" s="1"/>
  <c r="L65" i="21"/>
  <c r="M65" i="21"/>
  <c r="N65" i="21"/>
  <c r="O65" i="21"/>
  <c r="X65" i="21" s="1"/>
  <c r="V65" i="21"/>
  <c r="BP65" i="21" s="1"/>
  <c r="AE65" i="21"/>
  <c r="AF65" i="21" s="1"/>
  <c r="U65" i="21"/>
  <c r="BO65" i="21" s="1"/>
  <c r="V64" i="21"/>
  <c r="BP64" i="21" s="1"/>
  <c r="AE64" i="21"/>
  <c r="AF64" i="21" s="1"/>
  <c r="U64" i="21"/>
  <c r="BO64" i="21" s="1"/>
  <c r="O64" i="21"/>
  <c r="X64" i="21" s="1"/>
  <c r="N64" i="21"/>
  <c r="M64" i="21"/>
  <c r="L64" i="21"/>
  <c r="U63" i="21"/>
  <c r="BO63" i="21" s="1"/>
  <c r="O63" i="21"/>
  <c r="X63" i="21" s="1"/>
  <c r="V63" i="21"/>
  <c r="BP63" i="21" s="1"/>
  <c r="AE63" i="21"/>
  <c r="AF63" i="21" s="1"/>
  <c r="N63" i="21"/>
  <c r="M63" i="21"/>
  <c r="L63" i="21"/>
  <c r="AE62" i="21"/>
  <c r="AF62" i="21" s="1"/>
  <c r="V62" i="21"/>
  <c r="BP62" i="21" s="1"/>
  <c r="U62" i="21"/>
  <c r="BO62" i="21" s="1"/>
  <c r="O62" i="21"/>
  <c r="X62" i="21" s="1"/>
  <c r="N62" i="21"/>
  <c r="M62" i="21"/>
  <c r="L62" i="21"/>
  <c r="L61" i="21"/>
  <c r="N61" i="21"/>
  <c r="AE61" i="21"/>
  <c r="AF61" i="21" s="1"/>
  <c r="V61" i="21"/>
  <c r="BP61" i="21" s="1"/>
  <c r="U61" i="21"/>
  <c r="BO61" i="21" s="1"/>
  <c r="O61" i="21"/>
  <c r="X61" i="21" s="1"/>
  <c r="M61" i="21"/>
  <c r="AE60" i="21"/>
  <c r="AF60" i="21" s="1"/>
  <c r="L60" i="21"/>
  <c r="M60" i="21"/>
  <c r="N60" i="21"/>
  <c r="O60" i="21"/>
  <c r="X60" i="21" s="1"/>
  <c r="U60" i="21"/>
  <c r="BO60" i="21" s="1"/>
  <c r="V60" i="21"/>
  <c r="BP60" i="21" s="1"/>
  <c r="L59" i="21"/>
  <c r="M59" i="21"/>
  <c r="N59" i="21"/>
  <c r="O59" i="21"/>
  <c r="X59" i="21" s="1"/>
  <c r="U59" i="21"/>
  <c r="BO59" i="21" s="1"/>
  <c r="V59" i="21"/>
  <c r="BP59" i="21" s="1"/>
  <c r="AE59" i="21"/>
  <c r="AF59" i="21" s="1"/>
  <c r="L58" i="21"/>
  <c r="M58" i="21"/>
  <c r="N58" i="21"/>
  <c r="O58" i="21"/>
  <c r="X58" i="21" s="1"/>
  <c r="U58" i="21"/>
  <c r="BO58" i="21" s="1"/>
  <c r="V58" i="21"/>
  <c r="BP58" i="21" s="1"/>
  <c r="AE58" i="21"/>
  <c r="AF58" i="21" s="1"/>
  <c r="M57" i="21"/>
  <c r="AE57" i="21"/>
  <c r="AF57" i="21" s="1"/>
  <c r="V57" i="21"/>
  <c r="BP57" i="21" s="1"/>
  <c r="L57" i="21"/>
  <c r="U57" i="21"/>
  <c r="BO57" i="21" s="1"/>
  <c r="O57" i="21"/>
  <c r="X57" i="21" s="1"/>
  <c r="N57" i="21"/>
  <c r="U56" i="21"/>
  <c r="BO56" i="21" s="1"/>
  <c r="AE56" i="21"/>
  <c r="AF56" i="21" s="1"/>
  <c r="V56" i="21"/>
  <c r="BP56" i="21" s="1"/>
  <c r="O56" i="21"/>
  <c r="X56" i="21" s="1"/>
  <c r="N56" i="21"/>
  <c r="M56" i="21"/>
  <c r="L56" i="21"/>
  <c r="L54" i="21"/>
  <c r="M54" i="21"/>
  <c r="N54" i="21"/>
  <c r="O54" i="21"/>
  <c r="X54" i="21" s="1"/>
  <c r="AE54" i="21"/>
  <c r="AF54" i="21" s="1"/>
  <c r="V54" i="21"/>
  <c r="BP54" i="21" s="1"/>
  <c r="U54" i="21"/>
  <c r="BO54" i="21" s="1"/>
  <c r="V53" i="21"/>
  <c r="BP53" i="21" s="1"/>
  <c r="L53" i="21"/>
  <c r="M53" i="21"/>
  <c r="N53" i="21"/>
  <c r="O53" i="21"/>
  <c r="X53" i="21" s="1"/>
  <c r="U53" i="21"/>
  <c r="BO53" i="21" s="1"/>
  <c r="AE53" i="21"/>
  <c r="AF53" i="21" s="1"/>
  <c r="AE52" i="21"/>
  <c r="AF52" i="21" s="1"/>
  <c r="V52" i="21"/>
  <c r="BP52" i="21" s="1"/>
  <c r="O52" i="21"/>
  <c r="X52" i="21" s="1"/>
  <c r="N52" i="21"/>
  <c r="M52" i="21"/>
  <c r="L52" i="21"/>
  <c r="U52" i="21"/>
  <c r="BO52" i="21" s="1"/>
  <c r="AE51" i="21"/>
  <c r="AF51" i="21" s="1"/>
  <c r="V51" i="21"/>
  <c r="BP51" i="21" s="1"/>
  <c r="U51" i="21"/>
  <c r="BO51" i="21" s="1"/>
  <c r="O51" i="21"/>
  <c r="X51" i="21" s="1"/>
  <c r="N51" i="21"/>
  <c r="M51" i="21"/>
  <c r="L51" i="21"/>
  <c r="L50" i="21"/>
  <c r="M50" i="21"/>
  <c r="N50" i="21"/>
  <c r="O50" i="21"/>
  <c r="X50" i="21" s="1"/>
  <c r="U50" i="21"/>
  <c r="BO50" i="21" s="1"/>
  <c r="V50" i="21"/>
  <c r="BP50" i="21" s="1"/>
  <c r="AE50" i="21"/>
  <c r="AF50" i="21" s="1"/>
  <c r="AE49" i="21"/>
  <c r="AF49" i="21" s="1"/>
  <c r="V49" i="21"/>
  <c r="BP49" i="21" s="1"/>
  <c r="U49" i="21"/>
  <c r="BO49" i="21" s="1"/>
  <c r="O49" i="21"/>
  <c r="X49" i="21" s="1"/>
  <c r="N49" i="21"/>
  <c r="M49" i="21"/>
  <c r="L49" i="21"/>
  <c r="L48" i="21"/>
  <c r="AE48" i="21"/>
  <c r="AF48" i="21" s="1"/>
  <c r="V48" i="21"/>
  <c r="BP48" i="21" s="1"/>
  <c r="U48" i="21"/>
  <c r="BO48" i="21" s="1"/>
  <c r="O48" i="21"/>
  <c r="X48" i="21" s="1"/>
  <c r="N48" i="21"/>
  <c r="M48" i="21"/>
  <c r="N47" i="21"/>
  <c r="AE47" i="21"/>
  <c r="AF47" i="21" s="1"/>
  <c r="V47" i="21"/>
  <c r="BP47" i="21" s="1"/>
  <c r="M47" i="21"/>
  <c r="L47" i="21"/>
  <c r="U47" i="21"/>
  <c r="BO47" i="21" s="1"/>
  <c r="O47" i="21"/>
  <c r="X47" i="21" s="1"/>
  <c r="N46" i="21"/>
  <c r="M46" i="21"/>
  <c r="L46" i="21"/>
  <c r="AE46" i="21"/>
  <c r="AF46" i="21" s="1"/>
  <c r="V46" i="21"/>
  <c r="BP46" i="21" s="1"/>
  <c r="U46" i="21"/>
  <c r="BO46" i="21" s="1"/>
  <c r="O46" i="21"/>
  <c r="X46" i="21" s="1"/>
  <c r="N45" i="21"/>
  <c r="M45" i="21"/>
  <c r="L45" i="21"/>
  <c r="AE45" i="21"/>
  <c r="AF45" i="21" s="1"/>
  <c r="V45" i="21"/>
  <c r="BP45" i="21" s="1"/>
  <c r="U45" i="21"/>
  <c r="BO45" i="21" s="1"/>
  <c r="O45" i="21"/>
  <c r="X45" i="21" s="1"/>
  <c r="N44" i="21"/>
  <c r="M44" i="21"/>
  <c r="L44" i="21"/>
  <c r="AE44" i="21"/>
  <c r="AF44" i="21" s="1"/>
  <c r="V44" i="21"/>
  <c r="BP44" i="21" s="1"/>
  <c r="U44" i="21"/>
  <c r="BO44" i="21" s="1"/>
  <c r="O44" i="21"/>
  <c r="X44" i="21" s="1"/>
  <c r="N43" i="21"/>
  <c r="M43" i="21"/>
  <c r="L43" i="21"/>
  <c r="AE43" i="21"/>
  <c r="AF43" i="21" s="1"/>
  <c r="V43" i="21"/>
  <c r="BP43" i="21" s="1"/>
  <c r="U43" i="21"/>
  <c r="BO43" i="21" s="1"/>
  <c r="O43" i="21"/>
  <c r="X43" i="21" s="1"/>
  <c r="N42" i="21"/>
  <c r="M42" i="21"/>
  <c r="L42" i="21"/>
  <c r="AE42" i="21"/>
  <c r="AF42" i="21" s="1"/>
  <c r="V42" i="21"/>
  <c r="BP42" i="21" s="1"/>
  <c r="U42" i="21"/>
  <c r="BO42" i="21" s="1"/>
  <c r="O42" i="21"/>
  <c r="X42" i="21" s="1"/>
  <c r="N41" i="21"/>
  <c r="M41" i="21"/>
  <c r="L41" i="21"/>
  <c r="AE41" i="21"/>
  <c r="AF41" i="21" s="1"/>
  <c r="V41" i="21"/>
  <c r="BP41" i="21" s="1"/>
  <c r="U41" i="21"/>
  <c r="BO41" i="21" s="1"/>
  <c r="O41" i="21"/>
  <c r="X41" i="21" s="1"/>
  <c r="N40" i="21"/>
  <c r="M40" i="21"/>
  <c r="L40" i="21"/>
  <c r="AE40" i="21"/>
  <c r="AF40" i="21" s="1"/>
  <c r="V40" i="21"/>
  <c r="BP40" i="21" s="1"/>
  <c r="U40" i="21"/>
  <c r="BO40" i="21" s="1"/>
  <c r="O40" i="21"/>
  <c r="X40" i="21" s="1"/>
  <c r="U39" i="21"/>
  <c r="BO39" i="21" s="1"/>
  <c r="O39" i="21"/>
  <c r="X39" i="21" s="1"/>
  <c r="V39" i="21"/>
  <c r="BP39" i="21" s="1"/>
  <c r="AE39" i="21"/>
  <c r="AF39" i="21" s="1"/>
  <c r="N39" i="21"/>
  <c r="M39" i="21"/>
  <c r="L39" i="21"/>
  <c r="AE38" i="21"/>
  <c r="AF38" i="21" s="1"/>
  <c r="V38" i="21"/>
  <c r="BP38" i="21" s="1"/>
  <c r="U38" i="21"/>
  <c r="BO38" i="21" s="1"/>
  <c r="O38" i="21"/>
  <c r="X38" i="21" s="1"/>
  <c r="N38" i="21"/>
  <c r="M38" i="21"/>
  <c r="L38" i="21"/>
  <c r="AE37" i="21"/>
  <c r="AF37" i="21" s="1"/>
  <c r="V37" i="21"/>
  <c r="BP37" i="21" s="1"/>
  <c r="U37" i="21"/>
  <c r="BO37" i="21" s="1"/>
  <c r="O37" i="21"/>
  <c r="X37" i="21" s="1"/>
  <c r="N37" i="21"/>
  <c r="M37" i="21"/>
  <c r="L37" i="21"/>
  <c r="AE36" i="21"/>
  <c r="AF36" i="21" s="1"/>
  <c r="V36" i="21"/>
  <c r="BP36" i="21" s="1"/>
  <c r="U36" i="21"/>
  <c r="BO36" i="21" s="1"/>
  <c r="O36" i="21"/>
  <c r="X36" i="21" s="1"/>
  <c r="N36" i="21"/>
  <c r="M36" i="21"/>
  <c r="L36" i="21"/>
  <c r="M35" i="21"/>
  <c r="V35" i="21"/>
  <c r="BP35" i="21" s="1"/>
  <c r="U35" i="21"/>
  <c r="BO35" i="21" s="1"/>
  <c r="O35" i="21"/>
  <c r="X35" i="21" s="1"/>
  <c r="L35" i="21"/>
  <c r="AE35" i="21"/>
  <c r="AF35" i="21" s="1"/>
  <c r="N35" i="21"/>
  <c r="V34" i="21"/>
  <c r="BP34" i="21" s="1"/>
  <c r="AE34" i="21"/>
  <c r="AF34" i="21" s="1"/>
  <c r="U34" i="21"/>
  <c r="BO34" i="21" s="1"/>
  <c r="O34" i="21"/>
  <c r="X34" i="21" s="1"/>
  <c r="N34" i="21"/>
  <c r="M34" i="21"/>
  <c r="L34" i="21"/>
  <c r="AE33" i="21"/>
  <c r="AF33" i="21" s="1"/>
  <c r="V33" i="21"/>
  <c r="BP33" i="21" s="1"/>
  <c r="U33" i="21"/>
  <c r="BO33" i="21" s="1"/>
  <c r="O33" i="21"/>
  <c r="X33" i="21" s="1"/>
  <c r="N33" i="21"/>
  <c r="M33" i="21"/>
  <c r="L33" i="21"/>
  <c r="AE32" i="21"/>
  <c r="AF32" i="21" s="1"/>
  <c r="V32" i="21"/>
  <c r="BP32" i="21" s="1"/>
  <c r="U32" i="21"/>
  <c r="BO32" i="21" s="1"/>
  <c r="O32" i="21"/>
  <c r="X32" i="21" s="1"/>
  <c r="N32" i="21"/>
  <c r="M32" i="21"/>
  <c r="L32" i="21"/>
  <c r="V31" i="21"/>
  <c r="BP31" i="21" s="1"/>
  <c r="AE31" i="21"/>
  <c r="AF31" i="21" s="1"/>
  <c r="U31" i="21"/>
  <c r="BO31" i="21" s="1"/>
  <c r="O31" i="21"/>
  <c r="X31" i="21" s="1"/>
  <c r="N31" i="21"/>
  <c r="M31" i="21"/>
  <c r="L31" i="21"/>
  <c r="AE30" i="21"/>
  <c r="AF30" i="21" s="1"/>
  <c r="V30" i="21"/>
  <c r="BP30" i="21" s="1"/>
  <c r="U30" i="21"/>
  <c r="BO30" i="21" s="1"/>
  <c r="O30" i="21"/>
  <c r="X30" i="21" s="1"/>
  <c r="N30" i="21"/>
  <c r="M30" i="21"/>
  <c r="L30" i="21"/>
  <c r="AE29" i="21"/>
  <c r="AF29" i="21" s="1"/>
  <c r="V29" i="21"/>
  <c r="BP29" i="21" s="1"/>
  <c r="U29" i="21"/>
  <c r="BO29" i="21" s="1"/>
  <c r="O29" i="21"/>
  <c r="X29" i="21" s="1"/>
  <c r="N29" i="21"/>
  <c r="M29" i="21"/>
  <c r="L29" i="21"/>
  <c r="M28" i="21"/>
  <c r="L28" i="21"/>
  <c r="N28" i="21"/>
  <c r="L27" i="21"/>
  <c r="M27" i="21"/>
  <c r="N27" i="21"/>
  <c r="O27" i="21"/>
  <c r="X27" i="21" s="1"/>
  <c r="U27" i="21"/>
  <c r="BO27" i="21" s="1"/>
  <c r="V27" i="21"/>
  <c r="BP27" i="21" s="1"/>
  <c r="AE27" i="21"/>
  <c r="AF27" i="21" s="1"/>
  <c r="L26" i="21"/>
  <c r="M26" i="21"/>
  <c r="N26" i="21"/>
  <c r="O26" i="21"/>
  <c r="X26" i="21" s="1"/>
  <c r="U26" i="21"/>
  <c r="BO26" i="21" s="1"/>
  <c r="V26" i="21"/>
  <c r="BP26" i="21" s="1"/>
  <c r="AE26" i="21"/>
  <c r="AF26" i="21" s="1"/>
  <c r="V25" i="21"/>
  <c r="BP25" i="21" s="1"/>
  <c r="O25" i="21"/>
  <c r="X25" i="21" s="1"/>
  <c r="N25" i="21"/>
  <c r="M25" i="21"/>
  <c r="L25" i="21"/>
  <c r="AE25" i="21"/>
  <c r="AF25" i="21" s="1"/>
  <c r="U25" i="21"/>
  <c r="BO25" i="21" s="1"/>
  <c r="L24" i="21"/>
  <c r="M24" i="21"/>
  <c r="N24" i="21"/>
  <c r="O24" i="21"/>
  <c r="X24" i="21" s="1"/>
  <c r="U24" i="21"/>
  <c r="BO24" i="21" s="1"/>
  <c r="V24" i="21"/>
  <c r="BP24" i="21" s="1"/>
  <c r="AE24" i="21"/>
  <c r="AF24" i="21" s="1"/>
  <c r="L23" i="21"/>
  <c r="N23" i="21"/>
  <c r="U23" i="21"/>
  <c r="BO23" i="21" s="1"/>
  <c r="V23" i="21"/>
  <c r="BP23" i="21" s="1"/>
  <c r="AE23" i="21"/>
  <c r="AF23" i="21" s="1"/>
  <c r="O23" i="21"/>
  <c r="X23" i="21" s="1"/>
  <c r="M23" i="21"/>
  <c r="U22" i="21"/>
  <c r="BO22" i="21" s="1"/>
  <c r="AE22" i="21"/>
  <c r="AF22" i="21" s="1"/>
  <c r="V22" i="21"/>
  <c r="BP22" i="21" s="1"/>
  <c r="AP103" i="21" l="1"/>
  <c r="AI103" i="21"/>
  <c r="BE103" i="21"/>
  <c r="T103" i="21"/>
  <c r="BI103" i="21" s="1"/>
  <c r="BO103" i="21"/>
  <c r="AZ103" i="21"/>
  <c r="BJ107" i="21"/>
  <c r="AB103" i="21"/>
  <c r="BJ103" i="21"/>
  <c r="S103" i="21"/>
  <c r="T107" i="21"/>
  <c r="AA107" i="21" s="1"/>
  <c r="AU107" i="21"/>
  <c r="BO107" i="21"/>
  <c r="AI107" i="21"/>
  <c r="BE107" i="21"/>
  <c r="AZ107" i="21"/>
  <c r="AV124" i="21"/>
  <c r="S107" i="21"/>
  <c r="AZ119" i="21"/>
  <c r="S119" i="21"/>
  <c r="AU119" i="21"/>
  <c r="BK107" i="21"/>
  <c r="AB107" i="21"/>
  <c r="AV107" i="21"/>
  <c r="BP107" i="21"/>
  <c r="AJ107" i="21"/>
  <c r="BA107" i="21"/>
  <c r="BF107" i="21"/>
  <c r="BP124" i="21"/>
  <c r="AQ124" i="21"/>
  <c r="BF124" i="21"/>
  <c r="BK124" i="21"/>
  <c r="BA124" i="21"/>
  <c r="T124" i="21"/>
  <c r="AU124" i="21"/>
  <c r="AZ124" i="21"/>
  <c r="BE124" i="21"/>
  <c r="BJ124" i="21"/>
  <c r="BO124" i="21"/>
  <c r="AB124" i="21"/>
  <c r="AI124" i="21"/>
  <c r="S124" i="21"/>
  <c r="AP124" i="21"/>
  <c r="BK157" i="21"/>
  <c r="AJ157" i="21"/>
  <c r="AQ157" i="21"/>
  <c r="BA157" i="21"/>
  <c r="BF157" i="21"/>
  <c r="AV157" i="21"/>
  <c r="T89" i="21"/>
  <c r="BN89" i="21" s="1"/>
  <c r="AB154" i="21"/>
  <c r="AP119" i="21"/>
  <c r="T154" i="21"/>
  <c r="P154" i="21" s="1"/>
  <c r="AI119" i="21"/>
  <c r="AP154" i="21"/>
  <c r="S89" i="21"/>
  <c r="AB119" i="21"/>
  <c r="S154" i="21"/>
  <c r="AI154" i="21"/>
  <c r="AV103" i="21"/>
  <c r="BA103" i="21"/>
  <c r="BK103" i="21"/>
  <c r="BF103" i="21"/>
  <c r="AJ103" i="21"/>
  <c r="BP103" i="21"/>
  <c r="AQ103" i="21"/>
  <c r="BD157" i="21"/>
  <c r="AT157" i="21"/>
  <c r="Q157" i="21"/>
  <c r="BI157" i="21"/>
  <c r="P157" i="21"/>
  <c r="R157" i="21"/>
  <c r="BN157" i="21"/>
  <c r="AA157" i="21"/>
  <c r="AH157" i="21"/>
  <c r="AO157" i="21"/>
  <c r="AY157" i="21"/>
  <c r="T119" i="21"/>
  <c r="BN119" i="21" s="1"/>
  <c r="AJ154" i="21"/>
  <c r="BF154" i="21"/>
  <c r="AQ154" i="21"/>
  <c r="AV154" i="21"/>
  <c r="BA154" i="21"/>
  <c r="BE154" i="21"/>
  <c r="BJ154" i="21"/>
  <c r="BK154" i="21"/>
  <c r="BP154" i="21"/>
  <c r="BO91" i="21"/>
  <c r="S91" i="21"/>
  <c r="T91" i="21"/>
  <c r="BD91" i="21" s="1"/>
  <c r="AZ154" i="21"/>
  <c r="AU154" i="21"/>
  <c r="BE141" i="21"/>
  <c r="BJ141" i="21"/>
  <c r="BP141" i="21"/>
  <c r="AJ141" i="21"/>
  <c r="BF141" i="21"/>
  <c r="BO141" i="21"/>
  <c r="S141" i="21"/>
  <c r="T141" i="21"/>
  <c r="BD141" i="21" s="1"/>
  <c r="AB141" i="21"/>
  <c r="AI141" i="21"/>
  <c r="AP141" i="21"/>
  <c r="AU141" i="21"/>
  <c r="AZ141" i="21"/>
  <c r="BK141" i="21"/>
  <c r="AQ141" i="21"/>
  <c r="AV141" i="21"/>
  <c r="BA141" i="21"/>
  <c r="BO156" i="21"/>
  <c r="S156" i="21"/>
  <c r="T156" i="21"/>
  <c r="BD156" i="21" s="1"/>
  <c r="BO149" i="21"/>
  <c r="T149" i="21"/>
  <c r="BD149" i="21" s="1"/>
  <c r="S149" i="21"/>
  <c r="BO87" i="21"/>
  <c r="S87" i="21"/>
  <c r="T87" i="21"/>
  <c r="BD87" i="21" s="1"/>
  <c r="BO88" i="21"/>
  <c r="S88" i="21"/>
  <c r="T88" i="21"/>
  <c r="BI88" i="21" s="1"/>
  <c r="BJ55" i="21"/>
  <c r="BO55" i="21"/>
  <c r="BJ6" i="21"/>
  <c r="BO6" i="21"/>
  <c r="BE131" i="21"/>
  <c r="BJ131" i="21"/>
  <c r="BE155" i="21"/>
  <c r="BJ155" i="21"/>
  <c r="BF155" i="21"/>
  <c r="BK155" i="21"/>
  <c r="BE119" i="21"/>
  <c r="BJ119" i="21"/>
  <c r="BF119" i="21"/>
  <c r="BK119" i="21"/>
  <c r="BE76" i="21"/>
  <c r="BJ76" i="21"/>
  <c r="BF76" i="21"/>
  <c r="BK76" i="21"/>
  <c r="BE142" i="21"/>
  <c r="BJ142" i="21"/>
  <c r="BF142" i="21"/>
  <c r="BK142" i="21"/>
  <c r="BE143" i="21"/>
  <c r="BJ143" i="21"/>
  <c r="BF143" i="21"/>
  <c r="BK143" i="21"/>
  <c r="BF90" i="21"/>
  <c r="BK90" i="21"/>
  <c r="BE90" i="21"/>
  <c r="BJ90" i="21"/>
  <c r="BF91" i="21"/>
  <c r="BK91" i="21"/>
  <c r="BE92" i="21"/>
  <c r="BJ92" i="21"/>
  <c r="BF92" i="21"/>
  <c r="BK92" i="21"/>
  <c r="BF55" i="21"/>
  <c r="BK55" i="21"/>
  <c r="BE144" i="21"/>
  <c r="BJ144" i="21"/>
  <c r="BF144" i="21"/>
  <c r="BK144" i="21"/>
  <c r="BE145" i="21"/>
  <c r="BJ145" i="21"/>
  <c r="BF145" i="21"/>
  <c r="BK145" i="21"/>
  <c r="BE146" i="21"/>
  <c r="BJ146" i="21"/>
  <c r="BF146" i="21"/>
  <c r="BK146" i="21"/>
  <c r="BE147" i="21"/>
  <c r="BJ147" i="21"/>
  <c r="BF147" i="21"/>
  <c r="BK147" i="21"/>
  <c r="BE148" i="21"/>
  <c r="BJ148" i="21"/>
  <c r="BF148" i="21"/>
  <c r="BK148" i="21"/>
  <c r="BE83" i="21"/>
  <c r="BJ83" i="21"/>
  <c r="BF83" i="21"/>
  <c r="BK83" i="21"/>
  <c r="BE84" i="21"/>
  <c r="BJ84" i="21"/>
  <c r="BF84" i="21"/>
  <c r="BK84" i="21"/>
  <c r="BF85" i="21"/>
  <c r="BK85" i="21"/>
  <c r="BE85" i="21"/>
  <c r="BJ85" i="21"/>
  <c r="BE86" i="21"/>
  <c r="BJ86" i="21"/>
  <c r="BF86" i="21"/>
  <c r="BK86" i="21"/>
  <c r="BE156" i="21"/>
  <c r="BJ156" i="21"/>
  <c r="BF156" i="21"/>
  <c r="BK156" i="21"/>
  <c r="BF149" i="21"/>
  <c r="BK149" i="21"/>
  <c r="BE149" i="21"/>
  <c r="BJ149" i="21"/>
  <c r="BE87" i="21"/>
  <c r="BJ87" i="21"/>
  <c r="BF87" i="21"/>
  <c r="BK87" i="21"/>
  <c r="BF88" i="21"/>
  <c r="BK88" i="21"/>
  <c r="BE88" i="21"/>
  <c r="BJ88" i="21"/>
  <c r="BF89" i="21"/>
  <c r="BK89" i="21"/>
  <c r="BE89" i="21"/>
  <c r="BJ89" i="21"/>
  <c r="BF131" i="21"/>
  <c r="BK131" i="21"/>
  <c r="BE7" i="21"/>
  <c r="BJ7" i="21"/>
  <c r="BF7" i="21"/>
  <c r="BK7" i="21"/>
  <c r="BE8" i="21"/>
  <c r="BJ8" i="21"/>
  <c r="BF8" i="21"/>
  <c r="BK8" i="21"/>
  <c r="BE91" i="21"/>
  <c r="BJ91" i="21"/>
  <c r="BE21" i="21"/>
  <c r="BJ21" i="21"/>
  <c r="BF21" i="21"/>
  <c r="BK21" i="21"/>
  <c r="BE13" i="21"/>
  <c r="BJ13" i="21"/>
  <c r="BF13" i="21"/>
  <c r="BK13" i="21"/>
  <c r="BE12" i="21"/>
  <c r="BJ12" i="21"/>
  <c r="BF12" i="21"/>
  <c r="BK12" i="21"/>
  <c r="BF20" i="21"/>
  <c r="BK20" i="21"/>
  <c r="BE20" i="21"/>
  <c r="BJ20" i="21"/>
  <c r="BE19" i="21"/>
  <c r="BJ19" i="21"/>
  <c r="BF19" i="21"/>
  <c r="BK19" i="21"/>
  <c r="BE11" i="21"/>
  <c r="BJ11" i="21"/>
  <c r="BF11" i="21"/>
  <c r="BK11" i="21"/>
  <c r="BE18" i="21"/>
  <c r="BJ18" i="21"/>
  <c r="BF18" i="21"/>
  <c r="BK18" i="21"/>
  <c r="BE16" i="21"/>
  <c r="BJ16" i="21"/>
  <c r="BF16" i="21"/>
  <c r="BK16" i="21"/>
  <c r="BE10" i="21"/>
  <c r="BJ10" i="21"/>
  <c r="BF10" i="21"/>
  <c r="BK10" i="21"/>
  <c r="BF17" i="21"/>
  <c r="BK17" i="21"/>
  <c r="BE17" i="21"/>
  <c r="BJ17" i="21"/>
  <c r="BE15" i="21"/>
  <c r="BJ15" i="21"/>
  <c r="BF15" i="21"/>
  <c r="BK15" i="21"/>
  <c r="BE9" i="21"/>
  <c r="BJ9" i="21"/>
  <c r="BF9" i="21"/>
  <c r="BK9" i="21"/>
  <c r="BE14" i="21"/>
  <c r="BJ14" i="21"/>
  <c r="BF14" i="21"/>
  <c r="BK14" i="21"/>
  <c r="BF6" i="21"/>
  <c r="BK6" i="21"/>
  <c r="BD6" i="21"/>
  <c r="BI6" i="21"/>
  <c r="BE130" i="21"/>
  <c r="BJ130" i="21"/>
  <c r="BF130" i="21"/>
  <c r="BK130" i="21"/>
  <c r="BF28" i="21"/>
  <c r="BK28" i="21"/>
  <c r="BE28" i="21"/>
  <c r="BJ28" i="21"/>
  <c r="BF160" i="21"/>
  <c r="BK160" i="21"/>
  <c r="BE160" i="21"/>
  <c r="BJ160" i="21"/>
  <c r="BF159" i="21"/>
  <c r="BK159" i="21"/>
  <c r="BE159" i="21"/>
  <c r="BJ159" i="21"/>
  <c r="BF158" i="21"/>
  <c r="BK158" i="21"/>
  <c r="BE158" i="21"/>
  <c r="BJ158" i="21"/>
  <c r="BF153" i="21"/>
  <c r="BK153" i="21"/>
  <c r="BE153" i="21"/>
  <c r="BJ153" i="21"/>
  <c r="BF152" i="21"/>
  <c r="BK152" i="21"/>
  <c r="BE152" i="21"/>
  <c r="BJ152" i="21"/>
  <c r="BF151" i="21"/>
  <c r="BK151" i="21"/>
  <c r="BE151" i="21"/>
  <c r="BJ151" i="21"/>
  <c r="BF150" i="21"/>
  <c r="BK150" i="21"/>
  <c r="BE150" i="21"/>
  <c r="BJ150" i="21"/>
  <c r="BF140" i="21"/>
  <c r="BK140" i="21"/>
  <c r="BE140" i="21"/>
  <c r="BJ140" i="21"/>
  <c r="BF139" i="21"/>
  <c r="BK139" i="21"/>
  <c r="BE139" i="21"/>
  <c r="BJ139" i="21"/>
  <c r="BF138" i="21"/>
  <c r="BK138" i="21"/>
  <c r="BE138" i="21"/>
  <c r="BJ138" i="21"/>
  <c r="BF137" i="21"/>
  <c r="BK137" i="21"/>
  <c r="BE137" i="21"/>
  <c r="BJ137" i="21"/>
  <c r="BE136" i="21"/>
  <c r="BJ136" i="21"/>
  <c r="BF136" i="21"/>
  <c r="BK136" i="21"/>
  <c r="BF135" i="21"/>
  <c r="BK135" i="21"/>
  <c r="BE135" i="21"/>
  <c r="BJ135" i="21"/>
  <c r="BE134" i="21"/>
  <c r="BJ134" i="21"/>
  <c r="BF134" i="21"/>
  <c r="BK134" i="21"/>
  <c r="BF133" i="21"/>
  <c r="BK133" i="21"/>
  <c r="BE133" i="21"/>
  <c r="BJ133" i="21"/>
  <c r="BD132" i="21"/>
  <c r="BI132" i="21"/>
  <c r="BF132" i="21"/>
  <c r="BK132" i="21"/>
  <c r="BF129" i="21"/>
  <c r="BK129" i="21"/>
  <c r="BE129" i="21"/>
  <c r="BJ129" i="21"/>
  <c r="BF128" i="21"/>
  <c r="BK128" i="21"/>
  <c r="BE128" i="21"/>
  <c r="BJ128" i="21"/>
  <c r="BF127" i="21"/>
  <c r="BK127" i="21"/>
  <c r="BE127" i="21"/>
  <c r="BJ127" i="21"/>
  <c r="BF126" i="21"/>
  <c r="BK126" i="21"/>
  <c r="BE126" i="21"/>
  <c r="BJ126" i="21"/>
  <c r="BE125" i="21"/>
  <c r="BJ125" i="21"/>
  <c r="BF125" i="21"/>
  <c r="BK125" i="21"/>
  <c r="BE123" i="21"/>
  <c r="BJ123" i="21"/>
  <c r="BF123" i="21"/>
  <c r="BK123" i="21"/>
  <c r="BE122" i="21"/>
  <c r="BJ122" i="21"/>
  <c r="BF122" i="21"/>
  <c r="BK122" i="21"/>
  <c r="BE121" i="21"/>
  <c r="BJ121" i="21"/>
  <c r="BF121" i="21"/>
  <c r="BK121" i="21"/>
  <c r="BF120" i="21"/>
  <c r="BK120" i="21"/>
  <c r="BE120" i="21"/>
  <c r="BJ120" i="21"/>
  <c r="BE118" i="21"/>
  <c r="BJ118" i="21"/>
  <c r="BF118" i="21"/>
  <c r="BK118" i="21"/>
  <c r="BF117" i="21"/>
  <c r="BK117" i="21"/>
  <c r="BE117" i="21"/>
  <c r="BJ117" i="21"/>
  <c r="BF116" i="21"/>
  <c r="BK116" i="21"/>
  <c r="BE116" i="21"/>
  <c r="BJ116" i="21"/>
  <c r="BE115" i="21"/>
  <c r="BJ115" i="21"/>
  <c r="BF115" i="21"/>
  <c r="BK115" i="21"/>
  <c r="BF114" i="21"/>
  <c r="BK114" i="21"/>
  <c r="BE114" i="21"/>
  <c r="BJ114" i="21"/>
  <c r="BF113" i="21"/>
  <c r="BK113" i="21"/>
  <c r="BE113" i="21"/>
  <c r="BJ113" i="21"/>
  <c r="BE112" i="21"/>
  <c r="BJ112" i="21"/>
  <c r="BF112" i="21"/>
  <c r="BK112" i="21"/>
  <c r="BF111" i="21"/>
  <c r="BK111" i="21"/>
  <c r="BE111" i="21"/>
  <c r="BJ111" i="21"/>
  <c r="BE110" i="21"/>
  <c r="BJ110" i="21"/>
  <c r="BF110" i="21"/>
  <c r="BK110" i="21"/>
  <c r="BF109" i="21"/>
  <c r="BK109" i="21"/>
  <c r="BE109" i="21"/>
  <c r="BJ109" i="21"/>
  <c r="BE108" i="21"/>
  <c r="BJ108" i="21"/>
  <c r="BF108" i="21"/>
  <c r="BK108" i="21"/>
  <c r="BE106" i="21"/>
  <c r="BJ106" i="21"/>
  <c r="BF106" i="21"/>
  <c r="BK106" i="21"/>
  <c r="BE105" i="21"/>
  <c r="BJ105" i="21"/>
  <c r="BF105" i="21"/>
  <c r="BK105" i="21"/>
  <c r="BE104" i="21"/>
  <c r="BJ104" i="21"/>
  <c r="BF104" i="21"/>
  <c r="BK104" i="21"/>
  <c r="BE102" i="21"/>
  <c r="BJ102" i="21"/>
  <c r="BF102" i="21"/>
  <c r="BK102" i="21"/>
  <c r="BE101" i="21"/>
  <c r="BJ101" i="21"/>
  <c r="BF101" i="21"/>
  <c r="BK101" i="21"/>
  <c r="BF100" i="21"/>
  <c r="BK100" i="21"/>
  <c r="BE100" i="21"/>
  <c r="BJ100" i="21"/>
  <c r="BF99" i="21"/>
  <c r="BK99" i="21"/>
  <c r="BE99" i="21"/>
  <c r="BJ99" i="21"/>
  <c r="BF98" i="21"/>
  <c r="BK98" i="21"/>
  <c r="BE98" i="21"/>
  <c r="BJ98" i="21"/>
  <c r="BF97" i="21"/>
  <c r="BK97" i="21"/>
  <c r="BE97" i="21"/>
  <c r="BJ97" i="21"/>
  <c r="BF96" i="21"/>
  <c r="BK96" i="21"/>
  <c r="BE96" i="21"/>
  <c r="BJ96" i="21"/>
  <c r="BF95" i="21"/>
  <c r="BK95" i="21"/>
  <c r="BE95" i="21"/>
  <c r="BJ95" i="21"/>
  <c r="BF94" i="21"/>
  <c r="BK94" i="21"/>
  <c r="BE94" i="21"/>
  <c r="BJ94" i="21"/>
  <c r="BF93" i="21"/>
  <c r="BK93" i="21"/>
  <c r="BE93" i="21"/>
  <c r="BJ93" i="21"/>
  <c r="BF82" i="21"/>
  <c r="BK82" i="21"/>
  <c r="BE82" i="21"/>
  <c r="BJ82" i="21"/>
  <c r="BF81" i="21"/>
  <c r="BK81" i="21"/>
  <c r="BE81" i="21"/>
  <c r="BJ81" i="21"/>
  <c r="BF80" i="21"/>
  <c r="BK80" i="21"/>
  <c r="BE80" i="21"/>
  <c r="BJ80" i="21"/>
  <c r="BF79" i="21"/>
  <c r="BK79" i="21"/>
  <c r="BE79" i="21"/>
  <c r="BJ79" i="21"/>
  <c r="BF78" i="21"/>
  <c r="BK78" i="21"/>
  <c r="BE78" i="21"/>
  <c r="BJ78" i="21"/>
  <c r="BF77" i="21"/>
  <c r="BK77" i="21"/>
  <c r="BE77" i="21"/>
  <c r="BJ77" i="21"/>
  <c r="BE75" i="21"/>
  <c r="BJ75" i="21"/>
  <c r="BF75" i="21"/>
  <c r="BK75" i="21"/>
  <c r="BE74" i="21"/>
  <c r="BJ74" i="21"/>
  <c r="BF74" i="21"/>
  <c r="BK74" i="21"/>
  <c r="BF73" i="21"/>
  <c r="BK73" i="21"/>
  <c r="BE73" i="21"/>
  <c r="BJ73" i="21"/>
  <c r="BF72" i="21"/>
  <c r="BK72" i="21"/>
  <c r="BE72" i="21"/>
  <c r="BJ72" i="21"/>
  <c r="BF71" i="21"/>
  <c r="BK71" i="21"/>
  <c r="BE71" i="21"/>
  <c r="BJ71" i="21"/>
  <c r="BF70" i="21"/>
  <c r="BK70" i="21"/>
  <c r="BE70" i="21"/>
  <c r="BJ70" i="21"/>
  <c r="BF69" i="21"/>
  <c r="BK69" i="21"/>
  <c r="BE69" i="21"/>
  <c r="BJ69" i="21"/>
  <c r="BF68" i="21"/>
  <c r="BK68" i="21"/>
  <c r="BE68" i="21"/>
  <c r="BJ68" i="21"/>
  <c r="BE67" i="21"/>
  <c r="BJ67" i="21"/>
  <c r="BF67" i="21"/>
  <c r="BK67" i="21"/>
  <c r="BE66" i="21"/>
  <c r="BJ66" i="21"/>
  <c r="BF66" i="21"/>
  <c r="BK66" i="21"/>
  <c r="BF65" i="21"/>
  <c r="BK65" i="21"/>
  <c r="BE65" i="21"/>
  <c r="BJ65" i="21"/>
  <c r="BF64" i="21"/>
  <c r="BK64" i="21"/>
  <c r="BE64" i="21"/>
  <c r="BJ64" i="21"/>
  <c r="BE63" i="21"/>
  <c r="BJ63" i="21"/>
  <c r="BF63" i="21"/>
  <c r="BK63" i="21"/>
  <c r="BF62" i="21"/>
  <c r="BK62" i="21"/>
  <c r="BE62" i="21"/>
  <c r="BJ62" i="21"/>
  <c r="BF61" i="21"/>
  <c r="BK61" i="21"/>
  <c r="BE61" i="21"/>
  <c r="BJ61" i="21"/>
  <c r="BE60" i="21"/>
  <c r="BJ60" i="21"/>
  <c r="BF60" i="21"/>
  <c r="BK60" i="21"/>
  <c r="BE59" i="21"/>
  <c r="BJ59" i="21"/>
  <c r="BF59" i="21"/>
  <c r="BK59" i="21"/>
  <c r="BE58" i="21"/>
  <c r="BJ58" i="21"/>
  <c r="BF58" i="21"/>
  <c r="BK58" i="21"/>
  <c r="BF57" i="21"/>
  <c r="BK57" i="21"/>
  <c r="BE57" i="21"/>
  <c r="BJ57" i="21"/>
  <c r="BE56" i="21"/>
  <c r="BJ56" i="21"/>
  <c r="BF56" i="21"/>
  <c r="BK56" i="21"/>
  <c r="BF54" i="21"/>
  <c r="BK54" i="21"/>
  <c r="BE54" i="21"/>
  <c r="BJ54" i="21"/>
  <c r="BF53" i="21"/>
  <c r="BK53" i="21"/>
  <c r="BE53" i="21"/>
  <c r="BJ53" i="21"/>
  <c r="BF52" i="21"/>
  <c r="BK52" i="21"/>
  <c r="BE52" i="21"/>
  <c r="BJ52" i="21"/>
  <c r="BF51" i="21"/>
  <c r="BK51" i="21"/>
  <c r="BE51" i="21"/>
  <c r="BJ51" i="21"/>
  <c r="BE50" i="21"/>
  <c r="BJ50" i="21"/>
  <c r="BF50" i="21"/>
  <c r="BK50" i="21"/>
  <c r="BF49" i="21"/>
  <c r="BK49" i="21"/>
  <c r="BE49" i="21"/>
  <c r="BJ49" i="21"/>
  <c r="BF48" i="21"/>
  <c r="BK48" i="21"/>
  <c r="BE48" i="21"/>
  <c r="BJ48" i="21"/>
  <c r="BF47" i="21"/>
  <c r="BK47" i="21"/>
  <c r="BE47" i="21"/>
  <c r="BJ47" i="21"/>
  <c r="BF46" i="21"/>
  <c r="BK46" i="21"/>
  <c r="BE46" i="21"/>
  <c r="BJ46" i="21"/>
  <c r="BF45" i="21"/>
  <c r="BK45" i="21"/>
  <c r="BE45" i="21"/>
  <c r="BJ45" i="21"/>
  <c r="BF44" i="21"/>
  <c r="BK44" i="21"/>
  <c r="BE44" i="21"/>
  <c r="BJ44" i="21"/>
  <c r="BF43" i="21"/>
  <c r="BK43" i="21"/>
  <c r="BE43" i="21"/>
  <c r="BJ43" i="21"/>
  <c r="BF42" i="21"/>
  <c r="BK42" i="21"/>
  <c r="BE42" i="21"/>
  <c r="BJ42" i="21"/>
  <c r="BF41" i="21"/>
  <c r="BK41" i="21"/>
  <c r="BE41" i="21"/>
  <c r="BJ41" i="21"/>
  <c r="BF40" i="21"/>
  <c r="BK40" i="21"/>
  <c r="BE40" i="21"/>
  <c r="BJ40" i="21"/>
  <c r="BE39" i="21"/>
  <c r="BJ39" i="21"/>
  <c r="BF39" i="21"/>
  <c r="BK39" i="21"/>
  <c r="BF38" i="21"/>
  <c r="BK38" i="21"/>
  <c r="BE38" i="21"/>
  <c r="BJ38" i="21"/>
  <c r="BF37" i="21"/>
  <c r="BK37" i="21"/>
  <c r="BE37" i="21"/>
  <c r="BJ37" i="21"/>
  <c r="BF36" i="21"/>
  <c r="BK36" i="21"/>
  <c r="BE36" i="21"/>
  <c r="BJ36" i="21"/>
  <c r="BF35" i="21"/>
  <c r="BK35" i="21"/>
  <c r="BE35" i="21"/>
  <c r="BJ35" i="21"/>
  <c r="BF34" i="21"/>
  <c r="BK34" i="21"/>
  <c r="BE34" i="21"/>
  <c r="BJ34" i="21"/>
  <c r="BF33" i="21"/>
  <c r="BK33" i="21"/>
  <c r="BE33" i="21"/>
  <c r="BJ33" i="21"/>
  <c r="BF32" i="21"/>
  <c r="BK32" i="21"/>
  <c r="BE32" i="21"/>
  <c r="BJ32" i="21"/>
  <c r="BF31" i="21"/>
  <c r="BK31" i="21"/>
  <c r="BE31" i="21"/>
  <c r="BJ31" i="21"/>
  <c r="BF30" i="21"/>
  <c r="BK30" i="21"/>
  <c r="BE30" i="21"/>
  <c r="BJ30" i="21"/>
  <c r="BF29" i="21"/>
  <c r="BK29" i="21"/>
  <c r="BE29" i="21"/>
  <c r="BJ29" i="21"/>
  <c r="BE27" i="21"/>
  <c r="BJ27" i="21"/>
  <c r="BF27" i="21"/>
  <c r="BK27" i="21"/>
  <c r="BE26" i="21"/>
  <c r="BJ26" i="21"/>
  <c r="BF26" i="21"/>
  <c r="BK26" i="21"/>
  <c r="BF25" i="21"/>
  <c r="BK25" i="21"/>
  <c r="BE25" i="21"/>
  <c r="BJ25" i="21"/>
  <c r="BE24" i="21"/>
  <c r="BJ24" i="21"/>
  <c r="BF24" i="21"/>
  <c r="BK24" i="21"/>
  <c r="BE23" i="21"/>
  <c r="BJ23" i="21"/>
  <c r="BF23" i="21"/>
  <c r="BK23" i="21"/>
  <c r="BE22" i="21"/>
  <c r="BJ22" i="21"/>
  <c r="BF22" i="21"/>
  <c r="BK22" i="21"/>
  <c r="BF5" i="21"/>
  <c r="BK5" i="21"/>
  <c r="BE5" i="21"/>
  <c r="BJ5" i="21"/>
  <c r="AB55" i="21"/>
  <c r="BE55" i="21"/>
  <c r="S6" i="21"/>
  <c r="BE6" i="21"/>
  <c r="AI55" i="21"/>
  <c r="AP55" i="21"/>
  <c r="AU55" i="21"/>
  <c r="AZ55" i="21"/>
  <c r="T131" i="21"/>
  <c r="BN131" i="21" s="1"/>
  <c r="S131" i="21"/>
  <c r="AZ131" i="21"/>
  <c r="AU131" i="21"/>
  <c r="AB131" i="21"/>
  <c r="AI131" i="21"/>
  <c r="AP131" i="21"/>
  <c r="AZ155" i="21"/>
  <c r="AU155" i="21"/>
  <c r="AP155" i="21"/>
  <c r="AI155" i="21"/>
  <c r="AB155" i="21"/>
  <c r="T155" i="21"/>
  <c r="BN155" i="21" s="1"/>
  <c r="S155" i="21"/>
  <c r="AV155" i="21"/>
  <c r="AQ155" i="21"/>
  <c r="AJ155" i="21"/>
  <c r="BA155" i="21"/>
  <c r="BA119" i="21"/>
  <c r="AV119" i="21"/>
  <c r="AQ119" i="21"/>
  <c r="AJ119" i="21"/>
  <c r="S15" i="21"/>
  <c r="T15" i="21"/>
  <c r="BN15" i="21" s="1"/>
  <c r="T9" i="21"/>
  <c r="BN9" i="21" s="1"/>
  <c r="S9" i="21"/>
  <c r="S14" i="21"/>
  <c r="T14" i="21"/>
  <c r="BN14" i="21" s="1"/>
  <c r="AZ76" i="21"/>
  <c r="AU76" i="21"/>
  <c r="AP76" i="21"/>
  <c r="AI76" i="21"/>
  <c r="AB76" i="21"/>
  <c r="T76" i="21"/>
  <c r="BN76" i="21" s="1"/>
  <c r="S76" i="21"/>
  <c r="BA76" i="21"/>
  <c r="AV76" i="21"/>
  <c r="AQ76" i="21"/>
  <c r="AJ76" i="21"/>
  <c r="T55" i="21"/>
  <c r="BN55" i="21" s="1"/>
  <c r="S55" i="21"/>
  <c r="S142" i="21"/>
  <c r="T142" i="21"/>
  <c r="BN142" i="21" s="1"/>
  <c r="S143" i="21"/>
  <c r="T143" i="21"/>
  <c r="BN143" i="21" s="1"/>
  <c r="T90" i="21"/>
  <c r="BN90" i="21" s="1"/>
  <c r="S90" i="21"/>
  <c r="T92" i="21"/>
  <c r="BN92" i="21" s="1"/>
  <c r="S92" i="21"/>
  <c r="T144" i="21"/>
  <c r="BN144" i="21" s="1"/>
  <c r="S144" i="21"/>
  <c r="T145" i="21"/>
  <c r="BN145" i="21" s="1"/>
  <c r="S145" i="21"/>
  <c r="S146" i="21"/>
  <c r="T146" i="21"/>
  <c r="BN146" i="21" s="1"/>
  <c r="T147" i="21"/>
  <c r="BN147" i="21" s="1"/>
  <c r="S147" i="21"/>
  <c r="AB148" i="21"/>
  <c r="AZ148" i="21"/>
  <c r="T148" i="21"/>
  <c r="BN148" i="21" s="1"/>
  <c r="AP148" i="21"/>
  <c r="AI148" i="21"/>
  <c r="AU148" i="21"/>
  <c r="S148" i="21"/>
  <c r="AJ148" i="21"/>
  <c r="BA148" i="21"/>
  <c r="AV148" i="21"/>
  <c r="AQ148" i="21"/>
  <c r="S83" i="21"/>
  <c r="T83" i="21"/>
  <c r="BN83" i="21" s="1"/>
  <c r="T84" i="21"/>
  <c r="BN84" i="21" s="1"/>
  <c r="S84" i="21"/>
  <c r="AB85" i="21"/>
  <c r="T85" i="21"/>
  <c r="BN85" i="21" s="1"/>
  <c r="AB86" i="21"/>
  <c r="AI86" i="21"/>
  <c r="AP86" i="21"/>
  <c r="S86" i="21"/>
  <c r="T86" i="21"/>
  <c r="BN86" i="21" s="1"/>
  <c r="AZ86" i="21"/>
  <c r="AU86" i="21"/>
  <c r="AQ86" i="21"/>
  <c r="AV86" i="21"/>
  <c r="BA86" i="21"/>
  <c r="AJ86" i="21"/>
  <c r="AZ142" i="21"/>
  <c r="AU142" i="21"/>
  <c r="AP142" i="21"/>
  <c r="AI142" i="21"/>
  <c r="AB142" i="21"/>
  <c r="BA142" i="21"/>
  <c r="AV142" i="21"/>
  <c r="AQ142" i="21"/>
  <c r="AJ142" i="21"/>
  <c r="AZ143" i="21"/>
  <c r="AU143" i="21"/>
  <c r="AP143" i="21"/>
  <c r="AI143" i="21"/>
  <c r="AB143" i="21"/>
  <c r="BA143" i="21"/>
  <c r="AV143" i="21"/>
  <c r="AQ143" i="21"/>
  <c r="AJ143" i="21"/>
  <c r="BA90" i="21"/>
  <c r="AV90" i="21"/>
  <c r="AQ90" i="21"/>
  <c r="AJ90" i="21"/>
  <c r="AZ90" i="21"/>
  <c r="AU90" i="21"/>
  <c r="AP90" i="21"/>
  <c r="AI90" i="21"/>
  <c r="AB90" i="21"/>
  <c r="BA91" i="21"/>
  <c r="AV91" i="21"/>
  <c r="AQ91" i="21"/>
  <c r="AJ91" i="21"/>
  <c r="AZ92" i="21"/>
  <c r="AU92" i="21"/>
  <c r="AP92" i="21"/>
  <c r="AI92" i="21"/>
  <c r="AB92" i="21"/>
  <c r="BA92" i="21"/>
  <c r="AV92" i="21"/>
  <c r="AQ92" i="21"/>
  <c r="AJ92" i="21"/>
  <c r="BA55" i="21"/>
  <c r="AV55" i="21"/>
  <c r="AQ55" i="21"/>
  <c r="AJ55" i="21"/>
  <c r="T10" i="21"/>
  <c r="BN10" i="21" s="1"/>
  <c r="S10" i="21"/>
  <c r="S17" i="21"/>
  <c r="T17" i="21"/>
  <c r="BN17" i="21" s="1"/>
  <c r="AZ144" i="21"/>
  <c r="AU144" i="21"/>
  <c r="AP144" i="21"/>
  <c r="AI144" i="21"/>
  <c r="AB144" i="21"/>
  <c r="BA144" i="21"/>
  <c r="AV144" i="21"/>
  <c r="AQ144" i="21"/>
  <c r="AJ144" i="21"/>
  <c r="AZ145" i="21"/>
  <c r="AU145" i="21"/>
  <c r="AP145" i="21"/>
  <c r="AI145" i="21"/>
  <c r="AB145" i="21"/>
  <c r="BA145" i="21"/>
  <c r="AV145" i="21"/>
  <c r="AQ145" i="21"/>
  <c r="AJ145" i="21"/>
  <c r="AZ146" i="21"/>
  <c r="AU146" i="21"/>
  <c r="AP146" i="21"/>
  <c r="AI146" i="21"/>
  <c r="AB146" i="21"/>
  <c r="BA146" i="21"/>
  <c r="AV146" i="21"/>
  <c r="AQ146" i="21"/>
  <c r="AJ146" i="21"/>
  <c r="AZ147" i="21"/>
  <c r="AU147" i="21"/>
  <c r="AP147" i="21"/>
  <c r="AI147" i="21"/>
  <c r="AB147" i="21"/>
  <c r="BA147" i="21"/>
  <c r="AV147" i="21"/>
  <c r="AQ147" i="21"/>
  <c r="AJ147" i="21"/>
  <c r="AZ83" i="21"/>
  <c r="AU83" i="21"/>
  <c r="AP83" i="21"/>
  <c r="AI83" i="21"/>
  <c r="AB83" i="21"/>
  <c r="BA83" i="21"/>
  <c r="AV83" i="21"/>
  <c r="AQ83" i="21"/>
  <c r="AJ83" i="21"/>
  <c r="AZ84" i="21"/>
  <c r="AU84" i="21"/>
  <c r="AP84" i="21"/>
  <c r="AI84" i="21"/>
  <c r="AB84" i="21"/>
  <c r="BA84" i="21"/>
  <c r="AV84" i="21"/>
  <c r="AQ84" i="21"/>
  <c r="AJ84" i="21"/>
  <c r="BA85" i="21"/>
  <c r="AV85" i="21"/>
  <c r="AQ85" i="21"/>
  <c r="AJ85" i="21"/>
  <c r="AZ85" i="21"/>
  <c r="AU85" i="21"/>
  <c r="AP85" i="21"/>
  <c r="AI85" i="21"/>
  <c r="S85" i="21"/>
  <c r="AZ156" i="21"/>
  <c r="AU156" i="21"/>
  <c r="AP156" i="21"/>
  <c r="AI156" i="21"/>
  <c r="AB156" i="21"/>
  <c r="BA156" i="21"/>
  <c r="AV156" i="21"/>
  <c r="AQ156" i="21"/>
  <c r="AJ156" i="21"/>
  <c r="BA149" i="21"/>
  <c r="AV149" i="21"/>
  <c r="AQ149" i="21"/>
  <c r="AJ149" i="21"/>
  <c r="AZ149" i="21"/>
  <c r="AU149" i="21"/>
  <c r="AP149" i="21"/>
  <c r="AI149" i="21"/>
  <c r="AB149" i="21"/>
  <c r="AZ87" i="21"/>
  <c r="AU87" i="21"/>
  <c r="AP87" i="21"/>
  <c r="AI87" i="21"/>
  <c r="AB87" i="21"/>
  <c r="BA87" i="21"/>
  <c r="AV87" i="21"/>
  <c r="AQ87" i="21"/>
  <c r="AJ87" i="21"/>
  <c r="BA88" i="21"/>
  <c r="AV88" i="21"/>
  <c r="AQ88" i="21"/>
  <c r="AJ88" i="21"/>
  <c r="AZ88" i="21"/>
  <c r="AU88" i="21"/>
  <c r="AP88" i="21"/>
  <c r="AI88" i="21"/>
  <c r="AB88" i="21"/>
  <c r="BA89" i="21"/>
  <c r="AV89" i="21"/>
  <c r="AQ89" i="21"/>
  <c r="AJ89" i="21"/>
  <c r="AZ89" i="21"/>
  <c r="AU89" i="21"/>
  <c r="AP89" i="21"/>
  <c r="AI89" i="21"/>
  <c r="AB89" i="21"/>
  <c r="BA131" i="21"/>
  <c r="AV131" i="21"/>
  <c r="AQ131" i="21"/>
  <c r="AJ131" i="21"/>
  <c r="AZ5" i="21"/>
  <c r="AU5" i="21"/>
  <c r="AP5" i="21"/>
  <c r="AI5" i="21"/>
  <c r="AB5" i="21"/>
  <c r="BA5" i="21"/>
  <c r="AV5" i="21"/>
  <c r="AQ5" i="21"/>
  <c r="AJ5" i="21"/>
  <c r="T5" i="21"/>
  <c r="BN5" i="21" s="1"/>
  <c r="S5" i="21"/>
  <c r="AB7" i="21"/>
  <c r="T7" i="21"/>
  <c r="BN7" i="21" s="1"/>
  <c r="S7" i="21"/>
  <c r="AI7" i="21"/>
  <c r="AP7" i="21"/>
  <c r="AU7" i="21"/>
  <c r="AZ7" i="21"/>
  <c r="BA7" i="21"/>
  <c r="AV7" i="21"/>
  <c r="AQ7" i="21"/>
  <c r="AJ7" i="21"/>
  <c r="AB8" i="21"/>
  <c r="AZ8" i="21"/>
  <c r="AU8" i="21"/>
  <c r="AP8" i="21"/>
  <c r="AI8" i="21"/>
  <c r="S8" i="21"/>
  <c r="T8" i="21"/>
  <c r="BN8" i="21" s="1"/>
  <c r="BA8" i="21"/>
  <c r="AV8" i="21"/>
  <c r="AQ8" i="21"/>
  <c r="AJ8" i="21"/>
  <c r="T21" i="21"/>
  <c r="BN21" i="21" s="1"/>
  <c r="S21" i="21"/>
  <c r="T13" i="21"/>
  <c r="BN13" i="21" s="1"/>
  <c r="S13" i="21"/>
  <c r="T12" i="21"/>
  <c r="BN12" i="21" s="1"/>
  <c r="S12" i="21"/>
  <c r="S20" i="21"/>
  <c r="T20" i="21"/>
  <c r="BN20" i="21" s="1"/>
  <c r="S19" i="21"/>
  <c r="T19" i="21"/>
  <c r="BN19" i="21" s="1"/>
  <c r="T11" i="21"/>
  <c r="BN11" i="21" s="1"/>
  <c r="S11" i="21"/>
  <c r="S18" i="21"/>
  <c r="T18" i="21"/>
  <c r="BN18" i="21" s="1"/>
  <c r="AZ91" i="21"/>
  <c r="AU91" i="21"/>
  <c r="AP91" i="21"/>
  <c r="AI91" i="21"/>
  <c r="AB91" i="21"/>
  <c r="AZ21" i="21"/>
  <c r="AU21" i="21"/>
  <c r="AP21" i="21"/>
  <c r="AI21" i="21"/>
  <c r="AB21" i="21"/>
  <c r="BA21" i="21"/>
  <c r="AV21" i="21"/>
  <c r="AQ21" i="21"/>
  <c r="AJ21" i="21"/>
  <c r="AZ13" i="21"/>
  <c r="AU13" i="21"/>
  <c r="AP13" i="21"/>
  <c r="AI13" i="21"/>
  <c r="AB13" i="21"/>
  <c r="BA13" i="21"/>
  <c r="AV13" i="21"/>
  <c r="AQ13" i="21"/>
  <c r="AJ13" i="21"/>
  <c r="AI12" i="21"/>
  <c r="AZ12" i="21"/>
  <c r="AU12" i="21"/>
  <c r="AP12" i="21"/>
  <c r="AB12" i="21"/>
  <c r="AJ12" i="21"/>
  <c r="BA12" i="21"/>
  <c r="AV12" i="21"/>
  <c r="AQ12" i="21"/>
  <c r="AV20" i="21"/>
  <c r="BA20" i="21"/>
  <c r="AJ20" i="21"/>
  <c r="AQ20" i="21"/>
  <c r="AU20" i="21"/>
  <c r="AB20" i="21"/>
  <c r="AZ20" i="21"/>
  <c r="AI20" i="21"/>
  <c r="AP20" i="21"/>
  <c r="AZ19" i="21"/>
  <c r="AU19" i="21"/>
  <c r="AP19" i="21"/>
  <c r="AB19" i="21"/>
  <c r="AI19" i="21"/>
  <c r="BA19" i="21"/>
  <c r="AV19" i="21"/>
  <c r="AQ19" i="21"/>
  <c r="AJ19" i="21"/>
  <c r="AZ11" i="21"/>
  <c r="AU11" i="21"/>
  <c r="AP11" i="21"/>
  <c r="AI11" i="21"/>
  <c r="AB11" i="21"/>
  <c r="AV11" i="21"/>
  <c r="AQ11" i="21"/>
  <c r="BA11" i="21"/>
  <c r="AJ11" i="21"/>
  <c r="AZ18" i="21"/>
  <c r="AU18" i="21"/>
  <c r="AP18" i="21"/>
  <c r="AI18" i="21"/>
  <c r="AB18" i="21"/>
  <c r="BA18" i="21"/>
  <c r="AV18" i="21"/>
  <c r="AQ18" i="21"/>
  <c r="AJ18" i="21"/>
  <c r="S16" i="21"/>
  <c r="AZ16" i="21"/>
  <c r="AU16" i="21"/>
  <c r="AP16" i="21"/>
  <c r="AI16" i="21"/>
  <c r="AB16" i="21"/>
  <c r="T16" i="21"/>
  <c r="BN16" i="21" s="1"/>
  <c r="BA16" i="21"/>
  <c r="AV16" i="21"/>
  <c r="AQ16" i="21"/>
  <c r="AJ16" i="21"/>
  <c r="AZ10" i="21"/>
  <c r="AU10" i="21"/>
  <c r="AP10" i="21"/>
  <c r="AI10" i="21"/>
  <c r="AB10" i="21"/>
  <c r="BA10" i="21"/>
  <c r="AV10" i="21"/>
  <c r="AQ10" i="21"/>
  <c r="AJ10" i="21"/>
  <c r="AQ17" i="21"/>
  <c r="AJ17" i="21"/>
  <c r="BA17" i="21"/>
  <c r="AV17" i="21"/>
  <c r="AZ17" i="21"/>
  <c r="AP17" i="21"/>
  <c r="AI17" i="21"/>
  <c r="AB17" i="21"/>
  <c r="AU17" i="21"/>
  <c r="AZ15" i="21"/>
  <c r="AU15" i="21"/>
  <c r="AP15" i="21"/>
  <c r="AI15" i="21"/>
  <c r="AB15" i="21"/>
  <c r="BA15" i="21"/>
  <c r="AV15" i="21"/>
  <c r="AQ15" i="21"/>
  <c r="AJ15" i="21"/>
  <c r="AZ9" i="21"/>
  <c r="AU9" i="21"/>
  <c r="AP9" i="21"/>
  <c r="AI9" i="21"/>
  <c r="AB9" i="21"/>
  <c r="BA9" i="21"/>
  <c r="AV9" i="21"/>
  <c r="AQ9" i="21"/>
  <c r="AJ9" i="21"/>
  <c r="AZ14" i="21"/>
  <c r="AU14" i="21"/>
  <c r="AP14" i="21"/>
  <c r="AI14" i="21"/>
  <c r="AB14" i="21"/>
  <c r="BA14" i="21"/>
  <c r="AV14" i="21"/>
  <c r="AQ14" i="21"/>
  <c r="AJ14" i="21"/>
  <c r="AZ6" i="21"/>
  <c r="AU6" i="21"/>
  <c r="AP6" i="21"/>
  <c r="AI6" i="21"/>
  <c r="AB6" i="21"/>
  <c r="BA6" i="21"/>
  <c r="AV6" i="21"/>
  <c r="AQ6" i="21"/>
  <c r="AJ6" i="21"/>
  <c r="AO6" i="21"/>
  <c r="AT6" i="21"/>
  <c r="AH6" i="21"/>
  <c r="AY6" i="21"/>
  <c r="AA6" i="21"/>
  <c r="R6" i="21"/>
  <c r="Q6" i="21"/>
  <c r="P6" i="21"/>
  <c r="AZ130" i="21"/>
  <c r="AP130" i="21"/>
  <c r="AU130" i="21"/>
  <c r="AB130" i="21"/>
  <c r="AI130" i="21"/>
  <c r="AV130" i="21"/>
  <c r="AJ130" i="21"/>
  <c r="BA130" i="21"/>
  <c r="AQ130" i="21"/>
  <c r="AV28" i="21"/>
  <c r="AQ28" i="21"/>
  <c r="BA28" i="21"/>
  <c r="AJ28" i="21"/>
  <c r="AU28" i="21"/>
  <c r="AP28" i="21"/>
  <c r="AZ28" i="21"/>
  <c r="AI28" i="21"/>
  <c r="AB28" i="21"/>
  <c r="S130" i="21"/>
  <c r="T130" i="21"/>
  <c r="BN130" i="21" s="1"/>
  <c r="S28" i="21"/>
  <c r="T28" i="21"/>
  <c r="BN28" i="21" s="1"/>
  <c r="AJ160" i="21"/>
  <c r="AQ160" i="21"/>
  <c r="AV160" i="21"/>
  <c r="BA160" i="21"/>
  <c r="AB160" i="21"/>
  <c r="AI160" i="21"/>
  <c r="AP160" i="21"/>
  <c r="AU160" i="21"/>
  <c r="AZ160" i="21"/>
  <c r="S160" i="21"/>
  <c r="T160" i="21"/>
  <c r="BN160" i="21" s="1"/>
  <c r="AJ159" i="21"/>
  <c r="AQ159" i="21"/>
  <c r="AV159" i="21"/>
  <c r="BA159" i="21"/>
  <c r="AB159" i="21"/>
  <c r="AI159" i="21"/>
  <c r="AP159" i="21"/>
  <c r="AU159" i="21"/>
  <c r="AZ159" i="21"/>
  <c r="S159" i="21"/>
  <c r="T159" i="21"/>
  <c r="BN159" i="21" s="1"/>
  <c r="AJ158" i="21"/>
  <c r="AQ158" i="21"/>
  <c r="AV158" i="21"/>
  <c r="BA158" i="21"/>
  <c r="AB158" i="21"/>
  <c r="AI158" i="21"/>
  <c r="AP158" i="21"/>
  <c r="AU158" i="21"/>
  <c r="AZ158" i="21"/>
  <c r="S158" i="21"/>
  <c r="T158" i="21"/>
  <c r="BN158" i="21" s="1"/>
  <c r="AJ153" i="21"/>
  <c r="AQ153" i="21"/>
  <c r="AV153" i="21"/>
  <c r="BA153" i="21"/>
  <c r="AB153" i="21"/>
  <c r="AI153" i="21"/>
  <c r="AP153" i="21"/>
  <c r="AU153" i="21"/>
  <c r="AZ153" i="21"/>
  <c r="S153" i="21"/>
  <c r="T153" i="21"/>
  <c r="BN153" i="21" s="1"/>
  <c r="AJ152" i="21"/>
  <c r="AQ152" i="21"/>
  <c r="AV152" i="21"/>
  <c r="BA152" i="21"/>
  <c r="AB152" i="21"/>
  <c r="AI152" i="21"/>
  <c r="AP152" i="21"/>
  <c r="AU152" i="21"/>
  <c r="AZ152" i="21"/>
  <c r="S152" i="21"/>
  <c r="T152" i="21"/>
  <c r="BN152" i="21" s="1"/>
  <c r="AJ151" i="21"/>
  <c r="AQ151" i="21"/>
  <c r="AV151" i="21"/>
  <c r="BA151" i="21"/>
  <c r="AB151" i="21"/>
  <c r="AI151" i="21"/>
  <c r="AP151" i="21"/>
  <c r="AU151" i="21"/>
  <c r="AZ151" i="21"/>
  <c r="S151" i="21"/>
  <c r="T151" i="21"/>
  <c r="BN151" i="21" s="1"/>
  <c r="AJ150" i="21"/>
  <c r="AQ150" i="21"/>
  <c r="AV150" i="21"/>
  <c r="BA150" i="21"/>
  <c r="AB150" i="21"/>
  <c r="AI150" i="21"/>
  <c r="AP150" i="21"/>
  <c r="AU150" i="21"/>
  <c r="AZ150" i="21"/>
  <c r="S150" i="21"/>
  <c r="T150" i="21"/>
  <c r="BN150" i="21" s="1"/>
  <c r="AJ140" i="21"/>
  <c r="AQ140" i="21"/>
  <c r="AV140" i="21"/>
  <c r="BA140" i="21"/>
  <c r="AB140" i="21"/>
  <c r="AI140" i="21"/>
  <c r="AP140" i="21"/>
  <c r="AU140" i="21"/>
  <c r="AZ140" i="21"/>
  <c r="S140" i="21"/>
  <c r="T140" i="21"/>
  <c r="BN140" i="21" s="1"/>
  <c r="AJ139" i="21"/>
  <c r="AQ139" i="21"/>
  <c r="AV139" i="21"/>
  <c r="BA139" i="21"/>
  <c r="AB139" i="21"/>
  <c r="AI139" i="21"/>
  <c r="AP139" i="21"/>
  <c r="AU139" i="21"/>
  <c r="AZ139" i="21"/>
  <c r="S139" i="21"/>
  <c r="T139" i="21"/>
  <c r="BN139" i="21" s="1"/>
  <c r="AJ138" i="21"/>
  <c r="AQ138" i="21"/>
  <c r="AV138" i="21"/>
  <c r="BA138" i="21"/>
  <c r="AB138" i="21"/>
  <c r="AI138" i="21"/>
  <c r="AP138" i="21"/>
  <c r="AU138" i="21"/>
  <c r="AZ138" i="21"/>
  <c r="S138" i="21"/>
  <c r="T138" i="21"/>
  <c r="BN138" i="21" s="1"/>
  <c r="AJ137" i="21"/>
  <c r="AQ137" i="21"/>
  <c r="AV137" i="21"/>
  <c r="BA137" i="21"/>
  <c r="AB137" i="21"/>
  <c r="AI137" i="21"/>
  <c r="AP137" i="21"/>
  <c r="AU137" i="21"/>
  <c r="AZ137" i="21"/>
  <c r="S137" i="21"/>
  <c r="T137" i="21"/>
  <c r="BN137" i="21" s="1"/>
  <c r="AB136" i="21"/>
  <c r="AI136" i="21"/>
  <c r="AP136" i="21"/>
  <c r="AU136" i="21"/>
  <c r="AZ136" i="21"/>
  <c r="S136" i="21"/>
  <c r="T136" i="21"/>
  <c r="BN136" i="21" s="1"/>
  <c r="AJ136" i="21"/>
  <c r="AQ136" i="21"/>
  <c r="AV136" i="21"/>
  <c r="BA136" i="21"/>
  <c r="AJ135" i="21"/>
  <c r="AQ135" i="21"/>
  <c r="AV135" i="21"/>
  <c r="BA135" i="21"/>
  <c r="AB135" i="21"/>
  <c r="AI135" i="21"/>
  <c r="AP135" i="21"/>
  <c r="AU135" i="21"/>
  <c r="AZ135" i="21"/>
  <c r="S135" i="21"/>
  <c r="T135" i="21"/>
  <c r="BN135" i="21" s="1"/>
  <c r="AB134" i="21"/>
  <c r="AI134" i="21"/>
  <c r="AP134" i="21"/>
  <c r="AU134" i="21"/>
  <c r="AZ134" i="21"/>
  <c r="S134" i="21"/>
  <c r="T134" i="21"/>
  <c r="BN134" i="21" s="1"/>
  <c r="AJ134" i="21"/>
  <c r="AQ134" i="21"/>
  <c r="AV134" i="21"/>
  <c r="BA134" i="21"/>
  <c r="AJ133" i="21"/>
  <c r="AQ133" i="21"/>
  <c r="AV133" i="21"/>
  <c r="BA133" i="21"/>
  <c r="AB133" i="21"/>
  <c r="AI133" i="21"/>
  <c r="AP133" i="21"/>
  <c r="AU133" i="21"/>
  <c r="AZ133" i="21"/>
  <c r="S133" i="21"/>
  <c r="T133" i="21"/>
  <c r="BN133" i="21" s="1"/>
  <c r="AA132" i="21"/>
  <c r="AH132" i="21"/>
  <c r="AO132" i="21"/>
  <c r="AT132" i="21"/>
  <c r="AY132" i="21"/>
  <c r="P132" i="21"/>
  <c r="Q132" i="21"/>
  <c r="R132" i="21"/>
  <c r="AJ132" i="21"/>
  <c r="AQ132" i="21"/>
  <c r="AV132" i="21"/>
  <c r="BA132" i="21"/>
  <c r="AQ129" i="21"/>
  <c r="AV129" i="21"/>
  <c r="BA129" i="21"/>
  <c r="AJ129" i="21"/>
  <c r="T129" i="21"/>
  <c r="BN129" i="21" s="1"/>
  <c r="AB129" i="21"/>
  <c r="AI129" i="21"/>
  <c r="AP129" i="21"/>
  <c r="AU129" i="21"/>
  <c r="AZ129" i="21"/>
  <c r="S129" i="21"/>
  <c r="AJ128" i="21"/>
  <c r="AQ128" i="21"/>
  <c r="AV128" i="21"/>
  <c r="BA128" i="21"/>
  <c r="AP128" i="21"/>
  <c r="AU128" i="21"/>
  <c r="T128" i="21"/>
  <c r="BN128" i="21" s="1"/>
  <c r="AB128" i="21"/>
  <c r="AI128" i="21"/>
  <c r="AZ128" i="21"/>
  <c r="S128" i="21"/>
  <c r="AJ127" i="21"/>
  <c r="AQ127" i="21"/>
  <c r="AV127" i="21"/>
  <c r="BA127" i="21"/>
  <c r="AU127" i="21"/>
  <c r="AZ127" i="21"/>
  <c r="T127" i="21"/>
  <c r="BN127" i="21" s="1"/>
  <c r="AB127" i="21"/>
  <c r="AI127" i="21"/>
  <c r="AP127" i="21"/>
  <c r="S127" i="21"/>
  <c r="AQ126" i="21"/>
  <c r="AJ126" i="21"/>
  <c r="AV126" i="21"/>
  <c r="BA126" i="21"/>
  <c r="AB126" i="21"/>
  <c r="AI126" i="21"/>
  <c r="AP126" i="21"/>
  <c r="AU126" i="21"/>
  <c r="AZ126" i="21"/>
  <c r="S126" i="21"/>
  <c r="T126" i="21"/>
  <c r="BN126" i="21" s="1"/>
  <c r="AI125" i="21"/>
  <c r="AU125" i="21"/>
  <c r="S125" i="21"/>
  <c r="AB125" i="21"/>
  <c r="AP125" i="21"/>
  <c r="T125" i="21"/>
  <c r="BN125" i="21" s="1"/>
  <c r="AZ125" i="21"/>
  <c r="AQ125" i="21"/>
  <c r="BA125" i="21"/>
  <c r="AJ125" i="21"/>
  <c r="AV125" i="21"/>
  <c r="AU123" i="21"/>
  <c r="AZ123" i="21"/>
  <c r="S123" i="21"/>
  <c r="AB123" i="21"/>
  <c r="AI123" i="21"/>
  <c r="AP123" i="21"/>
  <c r="T123" i="21"/>
  <c r="BN123" i="21" s="1"/>
  <c r="AJ123" i="21"/>
  <c r="AQ123" i="21"/>
  <c r="AV123" i="21"/>
  <c r="BA123" i="21"/>
  <c r="AB122" i="21"/>
  <c r="AI122" i="21"/>
  <c r="AU122" i="21"/>
  <c r="S122" i="21"/>
  <c r="T122" i="21"/>
  <c r="BN122" i="21" s="1"/>
  <c r="AP122" i="21"/>
  <c r="AZ122" i="21"/>
  <c r="AJ122" i="21"/>
  <c r="BA122" i="21"/>
  <c r="AQ122" i="21"/>
  <c r="AV122" i="21"/>
  <c r="AB121" i="21"/>
  <c r="AU121" i="21"/>
  <c r="S121" i="21"/>
  <c r="AI121" i="21"/>
  <c r="AP121" i="21"/>
  <c r="AZ121" i="21"/>
  <c r="T121" i="21"/>
  <c r="BN121" i="21" s="1"/>
  <c r="AJ121" i="21"/>
  <c r="BA121" i="21"/>
  <c r="AQ121" i="21"/>
  <c r="AV121" i="21"/>
  <c r="BA120" i="21"/>
  <c r="AQ120" i="21"/>
  <c r="AJ120" i="21"/>
  <c r="AV120" i="21"/>
  <c r="AI120" i="21"/>
  <c r="AZ120" i="21"/>
  <c r="S120" i="21"/>
  <c r="AB120" i="21"/>
  <c r="AP120" i="21"/>
  <c r="AU120" i="21"/>
  <c r="T120" i="21"/>
  <c r="BN120" i="21" s="1"/>
  <c r="AZ118" i="21"/>
  <c r="AP118" i="21"/>
  <c r="AU118" i="21"/>
  <c r="AB118" i="21"/>
  <c r="AI118" i="21"/>
  <c r="S118" i="21"/>
  <c r="T118" i="21"/>
  <c r="BN118" i="21" s="1"/>
  <c r="AV118" i="21"/>
  <c r="AJ118" i="21"/>
  <c r="AQ118" i="21"/>
  <c r="BA118" i="21"/>
  <c r="AJ117" i="21"/>
  <c r="AV117" i="21"/>
  <c r="BA117" i="21"/>
  <c r="AQ117" i="21"/>
  <c r="AP117" i="21"/>
  <c r="AU117" i="21"/>
  <c r="AZ117" i="21"/>
  <c r="AB117" i="21"/>
  <c r="AI117" i="21"/>
  <c r="S117" i="21"/>
  <c r="T117" i="21"/>
  <c r="BN117" i="21" s="1"/>
  <c r="AQ116" i="21"/>
  <c r="AV116" i="21"/>
  <c r="BA116" i="21"/>
  <c r="AJ116" i="21"/>
  <c r="AB116" i="21"/>
  <c r="T116" i="21"/>
  <c r="BN116" i="21" s="1"/>
  <c r="AI116" i="21"/>
  <c r="AP116" i="21"/>
  <c r="AU116" i="21"/>
  <c r="AZ116" i="21"/>
  <c r="S116" i="21"/>
  <c r="AP115" i="21"/>
  <c r="T115" i="21"/>
  <c r="BN115" i="21" s="1"/>
  <c r="AI115" i="21"/>
  <c r="AB115" i="21"/>
  <c r="AU115" i="21"/>
  <c r="AZ115" i="21"/>
  <c r="S115" i="21"/>
  <c r="AV115" i="21"/>
  <c r="BA115" i="21"/>
  <c r="AQ115" i="21"/>
  <c r="AJ115" i="21"/>
  <c r="AJ114" i="21"/>
  <c r="AV114" i="21"/>
  <c r="AQ114" i="21"/>
  <c r="BA114" i="21"/>
  <c r="AI114" i="21"/>
  <c r="T114" i="21"/>
  <c r="BN114" i="21" s="1"/>
  <c r="AP114" i="21"/>
  <c r="AZ114" i="21"/>
  <c r="AU114" i="21"/>
  <c r="AB114" i="21"/>
  <c r="S114" i="21"/>
  <c r="AV113" i="21"/>
  <c r="AQ113" i="21"/>
  <c r="BA113" i="21"/>
  <c r="AJ113" i="21"/>
  <c r="AI113" i="21"/>
  <c r="AU113" i="21"/>
  <c r="T113" i="21"/>
  <c r="BN113" i="21" s="1"/>
  <c r="AP113" i="21"/>
  <c r="AB113" i="21"/>
  <c r="AZ113" i="21"/>
  <c r="S113" i="21"/>
  <c r="AP112" i="21"/>
  <c r="AZ112" i="21"/>
  <c r="AB112" i="21"/>
  <c r="S112" i="21"/>
  <c r="AI112" i="21"/>
  <c r="AU112" i="21"/>
  <c r="T112" i="21"/>
  <c r="BN112" i="21" s="1"/>
  <c r="AV112" i="21"/>
  <c r="BA112" i="21"/>
  <c r="AQ112" i="21"/>
  <c r="AJ112" i="21"/>
  <c r="AV111" i="21"/>
  <c r="AJ111" i="21"/>
  <c r="AQ111" i="21"/>
  <c r="BA111" i="21"/>
  <c r="AB111" i="21"/>
  <c r="AZ111" i="21"/>
  <c r="AI111" i="21"/>
  <c r="AU111" i="21"/>
  <c r="T111" i="21"/>
  <c r="BN111" i="21" s="1"/>
  <c r="AP111" i="21"/>
  <c r="S111" i="21"/>
  <c r="AB110" i="21"/>
  <c r="AI110" i="21"/>
  <c r="T110" i="21"/>
  <c r="BN110" i="21" s="1"/>
  <c r="AU110" i="21"/>
  <c r="AZ110" i="21"/>
  <c r="AP110" i="21"/>
  <c r="S110" i="21"/>
  <c r="AJ110" i="21"/>
  <c r="AV110" i="21"/>
  <c r="BA110" i="21"/>
  <c r="AQ110" i="21"/>
  <c r="AJ109" i="21"/>
  <c r="BA109" i="21"/>
  <c r="AQ109" i="21"/>
  <c r="AV109" i="21"/>
  <c r="AB109" i="21"/>
  <c r="AZ109" i="21"/>
  <c r="S109" i="21"/>
  <c r="T109" i="21"/>
  <c r="BN109" i="21" s="1"/>
  <c r="AU109" i="21"/>
  <c r="AI109" i="21"/>
  <c r="AP109" i="21"/>
  <c r="AB108" i="21"/>
  <c r="AI108" i="21"/>
  <c r="S108" i="21"/>
  <c r="AP108" i="21"/>
  <c r="AU108" i="21"/>
  <c r="AZ108" i="21"/>
  <c r="T108" i="21"/>
  <c r="BN108" i="21" s="1"/>
  <c r="AJ108" i="21"/>
  <c r="AV108" i="21"/>
  <c r="BA108" i="21"/>
  <c r="AQ108" i="21"/>
  <c r="AU106" i="21"/>
  <c r="S106" i="21"/>
  <c r="T106" i="21"/>
  <c r="BN106" i="21" s="1"/>
  <c r="AB106" i="21"/>
  <c r="AP106" i="21"/>
  <c r="AZ106" i="21"/>
  <c r="AI106" i="21"/>
  <c r="AJ106" i="21"/>
  <c r="AV106" i="21"/>
  <c r="BA106" i="21"/>
  <c r="AQ106" i="21"/>
  <c r="S105" i="21"/>
  <c r="AB105" i="21"/>
  <c r="T105" i="21"/>
  <c r="BN105" i="21" s="1"/>
  <c r="AI105" i="21"/>
  <c r="AP105" i="21"/>
  <c r="AU105" i="21"/>
  <c r="AZ105" i="21"/>
  <c r="AJ105" i="21"/>
  <c r="AQ105" i="21"/>
  <c r="AV105" i="21"/>
  <c r="BA105" i="21"/>
  <c r="AB104" i="21"/>
  <c r="AI104" i="21"/>
  <c r="AP104" i="21"/>
  <c r="AU104" i="21"/>
  <c r="AZ104" i="21"/>
  <c r="S104" i="21"/>
  <c r="T104" i="21"/>
  <c r="BN104" i="21" s="1"/>
  <c r="AJ104" i="21"/>
  <c r="AQ104" i="21"/>
  <c r="AV104" i="21"/>
  <c r="BA104" i="21"/>
  <c r="AB102" i="21"/>
  <c r="AI102" i="21"/>
  <c r="AP102" i="21"/>
  <c r="AU102" i="21"/>
  <c r="AZ102" i="21"/>
  <c r="S102" i="21"/>
  <c r="T102" i="21"/>
  <c r="BN102" i="21" s="1"/>
  <c r="AJ102" i="21"/>
  <c r="AQ102" i="21"/>
  <c r="AV102" i="21"/>
  <c r="BA102" i="21"/>
  <c r="AB101" i="21"/>
  <c r="AI101" i="21"/>
  <c r="AP101" i="21"/>
  <c r="AU101" i="21"/>
  <c r="AZ101" i="21"/>
  <c r="S101" i="21"/>
  <c r="T101" i="21"/>
  <c r="BN101" i="21" s="1"/>
  <c r="AJ101" i="21"/>
  <c r="AQ101" i="21"/>
  <c r="AV101" i="21"/>
  <c r="BA101" i="21"/>
  <c r="AJ100" i="21"/>
  <c r="AQ100" i="21"/>
  <c r="AV100" i="21"/>
  <c r="BA100" i="21"/>
  <c r="AB100" i="21"/>
  <c r="AI100" i="21"/>
  <c r="AP100" i="21"/>
  <c r="AU100" i="21"/>
  <c r="AZ100" i="21"/>
  <c r="S100" i="21"/>
  <c r="T100" i="21"/>
  <c r="BN100" i="21" s="1"/>
  <c r="AJ99" i="21"/>
  <c r="AQ99" i="21"/>
  <c r="AV99" i="21"/>
  <c r="BA99" i="21"/>
  <c r="AB99" i="21"/>
  <c r="AI99" i="21"/>
  <c r="AP99" i="21"/>
  <c r="AU99" i="21"/>
  <c r="AZ99" i="21"/>
  <c r="S99" i="21"/>
  <c r="T99" i="21"/>
  <c r="BN99" i="21" s="1"/>
  <c r="AJ98" i="21"/>
  <c r="AQ98" i="21"/>
  <c r="AV98" i="21"/>
  <c r="BA98" i="21"/>
  <c r="AB98" i="21"/>
  <c r="AI98" i="21"/>
  <c r="AP98" i="21"/>
  <c r="AU98" i="21"/>
  <c r="AZ98" i="21"/>
  <c r="S98" i="21"/>
  <c r="T98" i="21"/>
  <c r="BN98" i="21" s="1"/>
  <c r="AJ97" i="21"/>
  <c r="AQ97" i="21"/>
  <c r="AV97" i="21"/>
  <c r="BA97" i="21"/>
  <c r="AB97" i="21"/>
  <c r="AI97" i="21"/>
  <c r="AP97" i="21"/>
  <c r="AU97" i="21"/>
  <c r="AZ97" i="21"/>
  <c r="S97" i="21"/>
  <c r="T97" i="21"/>
  <c r="BN97" i="21" s="1"/>
  <c r="AJ96" i="21"/>
  <c r="AQ96" i="21"/>
  <c r="AV96" i="21"/>
  <c r="BA96" i="21"/>
  <c r="AB96" i="21"/>
  <c r="AI96" i="21"/>
  <c r="AP96" i="21"/>
  <c r="AU96" i="21"/>
  <c r="AZ96" i="21"/>
  <c r="S96" i="21"/>
  <c r="T96" i="21"/>
  <c r="BN96" i="21" s="1"/>
  <c r="AJ95" i="21"/>
  <c r="AQ95" i="21"/>
  <c r="AV95" i="21"/>
  <c r="BA95" i="21"/>
  <c r="AB95" i="21"/>
  <c r="AI95" i="21"/>
  <c r="AP95" i="21"/>
  <c r="AU95" i="21"/>
  <c r="AZ95" i="21"/>
  <c r="S95" i="21"/>
  <c r="T95" i="21"/>
  <c r="BN95" i="21" s="1"/>
  <c r="AJ94" i="21"/>
  <c r="AQ94" i="21"/>
  <c r="AV94" i="21"/>
  <c r="BA94" i="21"/>
  <c r="AB94" i="21"/>
  <c r="AI94" i="21"/>
  <c r="AP94" i="21"/>
  <c r="AU94" i="21"/>
  <c r="AZ94" i="21"/>
  <c r="S94" i="21"/>
  <c r="T94" i="21"/>
  <c r="BN94" i="21" s="1"/>
  <c r="AJ93" i="21"/>
  <c r="AQ93" i="21"/>
  <c r="AV93" i="21"/>
  <c r="BA93" i="21"/>
  <c r="AB93" i="21"/>
  <c r="AI93" i="21"/>
  <c r="AP93" i="21"/>
  <c r="AU93" i="21"/>
  <c r="AZ93" i="21"/>
  <c r="S93" i="21"/>
  <c r="T93" i="21"/>
  <c r="BN93" i="21" s="1"/>
  <c r="AJ82" i="21"/>
  <c r="AQ82" i="21"/>
  <c r="AV82" i="21"/>
  <c r="BA82" i="21"/>
  <c r="AB82" i="21"/>
  <c r="AI82" i="21"/>
  <c r="AP82" i="21"/>
  <c r="AU82" i="21"/>
  <c r="AZ82" i="21"/>
  <c r="S82" i="21"/>
  <c r="T82" i="21"/>
  <c r="BN82" i="21" s="1"/>
  <c r="AJ81" i="21"/>
  <c r="AQ81" i="21"/>
  <c r="AV81" i="21"/>
  <c r="BA81" i="21"/>
  <c r="AB81" i="21"/>
  <c r="AI81" i="21"/>
  <c r="AP81" i="21"/>
  <c r="AU81" i="21"/>
  <c r="AZ81" i="21"/>
  <c r="S81" i="21"/>
  <c r="T81" i="21"/>
  <c r="BN81" i="21" s="1"/>
  <c r="AJ80" i="21"/>
  <c r="AQ80" i="21"/>
  <c r="AV80" i="21"/>
  <c r="BA80" i="21"/>
  <c r="AB80" i="21"/>
  <c r="AI80" i="21"/>
  <c r="AP80" i="21"/>
  <c r="AU80" i="21"/>
  <c r="AZ80" i="21"/>
  <c r="S80" i="21"/>
  <c r="T80" i="21"/>
  <c r="BN80" i="21" s="1"/>
  <c r="AJ79" i="21"/>
  <c r="AQ79" i="21"/>
  <c r="AV79" i="21"/>
  <c r="BA79" i="21"/>
  <c r="AB79" i="21"/>
  <c r="AI79" i="21"/>
  <c r="AP79" i="21"/>
  <c r="AU79" i="21"/>
  <c r="AZ79" i="21"/>
  <c r="S79" i="21"/>
  <c r="T79" i="21"/>
  <c r="BN79" i="21" s="1"/>
  <c r="AJ78" i="21"/>
  <c r="AQ78" i="21"/>
  <c r="AV78" i="21"/>
  <c r="BA78" i="21"/>
  <c r="AB78" i="21"/>
  <c r="AI78" i="21"/>
  <c r="AP78" i="21"/>
  <c r="AU78" i="21"/>
  <c r="AZ78" i="21"/>
  <c r="S78" i="21"/>
  <c r="T78" i="21"/>
  <c r="BN78" i="21" s="1"/>
  <c r="AJ77" i="21"/>
  <c r="AQ77" i="21"/>
  <c r="AV77" i="21"/>
  <c r="BA77" i="21"/>
  <c r="AB77" i="21"/>
  <c r="AI77" i="21"/>
  <c r="AP77" i="21"/>
  <c r="AU77" i="21"/>
  <c r="AZ77" i="21"/>
  <c r="S77" i="21"/>
  <c r="T77" i="21"/>
  <c r="BN77" i="21" s="1"/>
  <c r="AB75" i="21"/>
  <c r="AI75" i="21"/>
  <c r="AP75" i="21"/>
  <c r="AU75" i="21"/>
  <c r="AZ75" i="21"/>
  <c r="S75" i="21"/>
  <c r="T75" i="21"/>
  <c r="BN75" i="21" s="1"/>
  <c r="AJ75" i="21"/>
  <c r="AQ75" i="21"/>
  <c r="AV75" i="21"/>
  <c r="BA75" i="21"/>
  <c r="AB74" i="21"/>
  <c r="AI74" i="21"/>
  <c r="AP74" i="21"/>
  <c r="AU74" i="21"/>
  <c r="AZ74" i="21"/>
  <c r="S74" i="21"/>
  <c r="T74" i="21"/>
  <c r="BN74" i="21" s="1"/>
  <c r="AJ74" i="21"/>
  <c r="AQ74" i="21"/>
  <c r="AV74" i="21"/>
  <c r="BA74" i="21"/>
  <c r="AJ73" i="21"/>
  <c r="AQ73" i="21"/>
  <c r="AV73" i="21"/>
  <c r="BA73" i="21"/>
  <c r="AB73" i="21"/>
  <c r="AI73" i="21"/>
  <c r="AP73" i="21"/>
  <c r="AU73" i="21"/>
  <c r="AZ73" i="21"/>
  <c r="S73" i="21"/>
  <c r="T73" i="21"/>
  <c r="BN73" i="21" s="1"/>
  <c r="AJ72" i="21"/>
  <c r="AQ72" i="21"/>
  <c r="AV72" i="21"/>
  <c r="BA72" i="21"/>
  <c r="AB72" i="21"/>
  <c r="AI72" i="21"/>
  <c r="AP72" i="21"/>
  <c r="AU72" i="21"/>
  <c r="AZ72" i="21"/>
  <c r="S72" i="21"/>
  <c r="T72" i="21"/>
  <c r="BN72" i="21" s="1"/>
  <c r="AJ71" i="21"/>
  <c r="AQ71" i="21"/>
  <c r="AV71" i="21"/>
  <c r="BA71" i="21"/>
  <c r="AB71" i="21"/>
  <c r="AI71" i="21"/>
  <c r="AP71" i="21"/>
  <c r="AU71" i="21"/>
  <c r="AZ71" i="21"/>
  <c r="S71" i="21"/>
  <c r="T71" i="21"/>
  <c r="BN71" i="21" s="1"/>
  <c r="AJ70" i="21"/>
  <c r="AQ70" i="21"/>
  <c r="AV70" i="21"/>
  <c r="BA70" i="21"/>
  <c r="AB70" i="21"/>
  <c r="AI70" i="21"/>
  <c r="AP70" i="21"/>
  <c r="AU70" i="21"/>
  <c r="AZ70" i="21"/>
  <c r="S70" i="21"/>
  <c r="T70" i="21"/>
  <c r="BN70" i="21" s="1"/>
  <c r="AJ69" i="21"/>
  <c r="AQ69" i="21"/>
  <c r="AV69" i="21"/>
  <c r="BA69" i="21"/>
  <c r="AB69" i="21"/>
  <c r="AI69" i="21"/>
  <c r="AP69" i="21"/>
  <c r="AU69" i="21"/>
  <c r="AZ69" i="21"/>
  <c r="S69" i="21"/>
  <c r="T69" i="21"/>
  <c r="BN69" i="21" s="1"/>
  <c r="AJ68" i="21"/>
  <c r="AQ68" i="21"/>
  <c r="AV68" i="21"/>
  <c r="BA68" i="21"/>
  <c r="AB68" i="21"/>
  <c r="AI68" i="21"/>
  <c r="AP68" i="21"/>
  <c r="AU68" i="21"/>
  <c r="AZ68" i="21"/>
  <c r="S68" i="21"/>
  <c r="T68" i="21"/>
  <c r="BN68" i="21" s="1"/>
  <c r="AB67" i="21"/>
  <c r="AI67" i="21"/>
  <c r="AP67" i="21"/>
  <c r="AU67" i="21"/>
  <c r="AZ67" i="21"/>
  <c r="S67" i="21"/>
  <c r="T67" i="21"/>
  <c r="BN67" i="21" s="1"/>
  <c r="AJ67" i="21"/>
  <c r="AQ67" i="21"/>
  <c r="AV67" i="21"/>
  <c r="BA67" i="21"/>
  <c r="AB66" i="21"/>
  <c r="AI66" i="21"/>
  <c r="AP66" i="21"/>
  <c r="AU66" i="21"/>
  <c r="AZ66" i="21"/>
  <c r="S66" i="21"/>
  <c r="T66" i="21"/>
  <c r="BN66" i="21" s="1"/>
  <c r="AJ66" i="21"/>
  <c r="AQ66" i="21"/>
  <c r="AV66" i="21"/>
  <c r="BA66" i="21"/>
  <c r="AJ65" i="21"/>
  <c r="AQ65" i="21"/>
  <c r="AV65" i="21"/>
  <c r="BA65" i="21"/>
  <c r="AB65" i="21"/>
  <c r="AI65" i="21"/>
  <c r="AP65" i="21"/>
  <c r="AU65" i="21"/>
  <c r="AZ65" i="21"/>
  <c r="S65" i="21"/>
  <c r="T65" i="21"/>
  <c r="BN65" i="21" s="1"/>
  <c r="AJ64" i="21"/>
  <c r="AQ64" i="21"/>
  <c r="AV64" i="21"/>
  <c r="BA64" i="21"/>
  <c r="AB64" i="21"/>
  <c r="AI64" i="21"/>
  <c r="AP64" i="21"/>
  <c r="AU64" i="21"/>
  <c r="AZ64" i="21"/>
  <c r="S64" i="21"/>
  <c r="T64" i="21"/>
  <c r="BN64" i="21" s="1"/>
  <c r="AB63" i="21"/>
  <c r="AI63" i="21"/>
  <c r="AP63" i="21"/>
  <c r="AU63" i="21"/>
  <c r="AZ63" i="21"/>
  <c r="S63" i="21"/>
  <c r="T63" i="21"/>
  <c r="BN63" i="21" s="1"/>
  <c r="AJ63" i="21"/>
  <c r="AQ63" i="21"/>
  <c r="AV63" i="21"/>
  <c r="BA63" i="21"/>
  <c r="AJ62" i="21"/>
  <c r="AQ62" i="21"/>
  <c r="AV62" i="21"/>
  <c r="BA62" i="21"/>
  <c r="AB62" i="21"/>
  <c r="AI62" i="21"/>
  <c r="AP62" i="21"/>
  <c r="AU62" i="21"/>
  <c r="AZ62" i="21"/>
  <c r="S62" i="21"/>
  <c r="T62" i="21"/>
  <c r="BN62" i="21" s="1"/>
  <c r="AJ61" i="21"/>
  <c r="AQ61" i="21"/>
  <c r="AV61" i="21"/>
  <c r="BA61" i="21"/>
  <c r="AB61" i="21"/>
  <c r="AI61" i="21"/>
  <c r="AP61" i="21"/>
  <c r="AU61" i="21"/>
  <c r="AZ61" i="21"/>
  <c r="S61" i="21"/>
  <c r="T61" i="21"/>
  <c r="BN61" i="21" s="1"/>
  <c r="AB60" i="21"/>
  <c r="AI60" i="21"/>
  <c r="AP60" i="21"/>
  <c r="AU60" i="21"/>
  <c r="AZ60" i="21"/>
  <c r="S60" i="21"/>
  <c r="T60" i="21"/>
  <c r="BN60" i="21" s="1"/>
  <c r="AJ60" i="21"/>
  <c r="AQ60" i="21"/>
  <c r="AV60" i="21"/>
  <c r="BA60" i="21"/>
  <c r="AB59" i="21"/>
  <c r="AI59" i="21"/>
  <c r="AP59" i="21"/>
  <c r="AU59" i="21"/>
  <c r="AZ59" i="21"/>
  <c r="S59" i="21"/>
  <c r="T59" i="21"/>
  <c r="BN59" i="21" s="1"/>
  <c r="AJ59" i="21"/>
  <c r="AQ59" i="21"/>
  <c r="AV59" i="21"/>
  <c r="BA59" i="21"/>
  <c r="AB58" i="21"/>
  <c r="AI58" i="21"/>
  <c r="AP58" i="21"/>
  <c r="AU58" i="21"/>
  <c r="AZ58" i="21"/>
  <c r="S58" i="21"/>
  <c r="T58" i="21"/>
  <c r="BN58" i="21" s="1"/>
  <c r="AJ58" i="21"/>
  <c r="AQ58" i="21"/>
  <c r="AV58" i="21"/>
  <c r="BA58" i="21"/>
  <c r="AJ57" i="21"/>
  <c r="AQ57" i="21"/>
  <c r="AV57" i="21"/>
  <c r="BA57" i="21"/>
  <c r="AB57" i="21"/>
  <c r="AI57" i="21"/>
  <c r="AP57" i="21"/>
  <c r="AU57" i="21"/>
  <c r="AZ57" i="21"/>
  <c r="S57" i="21"/>
  <c r="T57" i="21"/>
  <c r="BN57" i="21" s="1"/>
  <c r="AB56" i="21"/>
  <c r="AI56" i="21"/>
  <c r="AP56" i="21"/>
  <c r="AU56" i="21"/>
  <c r="AZ56" i="21"/>
  <c r="S56" i="21"/>
  <c r="T56" i="21"/>
  <c r="BN56" i="21" s="1"/>
  <c r="AJ56" i="21"/>
  <c r="AQ56" i="21"/>
  <c r="AV56" i="21"/>
  <c r="BA56" i="21"/>
  <c r="AJ54" i="21"/>
  <c r="AQ54" i="21"/>
  <c r="AV54" i="21"/>
  <c r="BA54" i="21"/>
  <c r="AB54" i="21"/>
  <c r="AI54" i="21"/>
  <c r="AP54" i="21"/>
  <c r="AU54" i="21"/>
  <c r="AZ54" i="21"/>
  <c r="S54" i="21"/>
  <c r="T54" i="21"/>
  <c r="BN54" i="21" s="1"/>
  <c r="AJ53" i="21"/>
  <c r="AQ53" i="21"/>
  <c r="AV53" i="21"/>
  <c r="BA53" i="21"/>
  <c r="AB53" i="21"/>
  <c r="AI53" i="21"/>
  <c r="AP53" i="21"/>
  <c r="AU53" i="21"/>
  <c r="AZ53" i="21"/>
  <c r="S53" i="21"/>
  <c r="T53" i="21"/>
  <c r="BN53" i="21" s="1"/>
  <c r="AJ52" i="21"/>
  <c r="AQ52" i="21"/>
  <c r="AV52" i="21"/>
  <c r="BA52" i="21"/>
  <c r="AB52" i="21"/>
  <c r="AI52" i="21"/>
  <c r="AP52" i="21"/>
  <c r="AU52" i="21"/>
  <c r="AZ52" i="21"/>
  <c r="S52" i="21"/>
  <c r="T52" i="21"/>
  <c r="BN52" i="21" s="1"/>
  <c r="AJ51" i="21"/>
  <c r="AQ51" i="21"/>
  <c r="AV51" i="21"/>
  <c r="BA51" i="21"/>
  <c r="AB51" i="21"/>
  <c r="AI51" i="21"/>
  <c r="AP51" i="21"/>
  <c r="AU51" i="21"/>
  <c r="AZ51" i="21"/>
  <c r="S51" i="21"/>
  <c r="T51" i="21"/>
  <c r="BN51" i="21" s="1"/>
  <c r="AB50" i="21"/>
  <c r="AI50" i="21"/>
  <c r="AP50" i="21"/>
  <c r="AU50" i="21"/>
  <c r="AZ50" i="21"/>
  <c r="S50" i="21"/>
  <c r="T50" i="21"/>
  <c r="BN50" i="21" s="1"/>
  <c r="AJ50" i="21"/>
  <c r="AQ50" i="21"/>
  <c r="AV50" i="21"/>
  <c r="BA50" i="21"/>
  <c r="AJ49" i="21"/>
  <c r="AQ49" i="21"/>
  <c r="AV49" i="21"/>
  <c r="BA49" i="21"/>
  <c r="AB49" i="21"/>
  <c r="AI49" i="21"/>
  <c r="AP49" i="21"/>
  <c r="AU49" i="21"/>
  <c r="AZ49" i="21"/>
  <c r="S49" i="21"/>
  <c r="T49" i="21"/>
  <c r="BN49" i="21" s="1"/>
  <c r="AJ48" i="21"/>
  <c r="AQ48" i="21"/>
  <c r="AV48" i="21"/>
  <c r="BA48" i="21"/>
  <c r="AB48" i="21"/>
  <c r="AI48" i="21"/>
  <c r="AP48" i="21"/>
  <c r="AU48" i="21"/>
  <c r="AZ48" i="21"/>
  <c r="S48" i="21"/>
  <c r="T48" i="21"/>
  <c r="BN48" i="21" s="1"/>
  <c r="AJ47" i="21"/>
  <c r="AQ47" i="21"/>
  <c r="AV47" i="21"/>
  <c r="BA47" i="21"/>
  <c r="AB47" i="21"/>
  <c r="AI47" i="21"/>
  <c r="AP47" i="21"/>
  <c r="AU47" i="21"/>
  <c r="AZ47" i="21"/>
  <c r="S47" i="21"/>
  <c r="T47" i="21"/>
  <c r="BN47" i="21" s="1"/>
  <c r="AJ46" i="21"/>
  <c r="AQ46" i="21"/>
  <c r="AV46" i="21"/>
  <c r="BA46" i="21"/>
  <c r="AB46" i="21"/>
  <c r="AI46" i="21"/>
  <c r="AP46" i="21"/>
  <c r="AU46" i="21"/>
  <c r="AZ46" i="21"/>
  <c r="S46" i="21"/>
  <c r="T46" i="21"/>
  <c r="BN46" i="21" s="1"/>
  <c r="AJ45" i="21"/>
  <c r="AQ45" i="21"/>
  <c r="AV45" i="21"/>
  <c r="BA45" i="21"/>
  <c r="AB45" i="21"/>
  <c r="AI45" i="21"/>
  <c r="AP45" i="21"/>
  <c r="AU45" i="21"/>
  <c r="AZ45" i="21"/>
  <c r="S45" i="21"/>
  <c r="T45" i="21"/>
  <c r="BN45" i="21" s="1"/>
  <c r="AJ44" i="21"/>
  <c r="AQ44" i="21"/>
  <c r="AV44" i="21"/>
  <c r="BA44" i="21"/>
  <c r="AB44" i="21"/>
  <c r="AI44" i="21"/>
  <c r="AP44" i="21"/>
  <c r="AU44" i="21"/>
  <c r="AZ44" i="21"/>
  <c r="S44" i="21"/>
  <c r="T44" i="21"/>
  <c r="BN44" i="21" s="1"/>
  <c r="AJ43" i="21"/>
  <c r="AQ43" i="21"/>
  <c r="AV43" i="21"/>
  <c r="BA43" i="21"/>
  <c r="AB43" i="21"/>
  <c r="AI43" i="21"/>
  <c r="AP43" i="21"/>
  <c r="AU43" i="21"/>
  <c r="AZ43" i="21"/>
  <c r="S43" i="21"/>
  <c r="T43" i="21"/>
  <c r="BN43" i="21" s="1"/>
  <c r="AJ42" i="21"/>
  <c r="AQ42" i="21"/>
  <c r="AV42" i="21"/>
  <c r="BA42" i="21"/>
  <c r="AB42" i="21"/>
  <c r="AI42" i="21"/>
  <c r="AP42" i="21"/>
  <c r="AU42" i="21"/>
  <c r="AZ42" i="21"/>
  <c r="S42" i="21"/>
  <c r="T42" i="21"/>
  <c r="BN42" i="21" s="1"/>
  <c r="AJ41" i="21"/>
  <c r="AQ41" i="21"/>
  <c r="AV41" i="21"/>
  <c r="BA41" i="21"/>
  <c r="AB41" i="21"/>
  <c r="AI41" i="21"/>
  <c r="AP41" i="21"/>
  <c r="AU41" i="21"/>
  <c r="AZ41" i="21"/>
  <c r="S41" i="21"/>
  <c r="T41" i="21"/>
  <c r="BN41" i="21" s="1"/>
  <c r="AJ40" i="21"/>
  <c r="AQ40" i="21"/>
  <c r="AV40" i="21"/>
  <c r="BA40" i="21"/>
  <c r="AB40" i="21"/>
  <c r="AI40" i="21"/>
  <c r="AP40" i="21"/>
  <c r="AU40" i="21"/>
  <c r="AZ40" i="21"/>
  <c r="S40" i="21"/>
  <c r="T40" i="21"/>
  <c r="BN40" i="21" s="1"/>
  <c r="AB39" i="21"/>
  <c r="AI39" i="21"/>
  <c r="AP39" i="21"/>
  <c r="AU39" i="21"/>
  <c r="AZ39" i="21"/>
  <c r="S39" i="21"/>
  <c r="T39" i="21"/>
  <c r="BN39" i="21" s="1"/>
  <c r="AJ39" i="21"/>
  <c r="AQ39" i="21"/>
  <c r="AV39" i="21"/>
  <c r="BA39" i="21"/>
  <c r="AJ38" i="21"/>
  <c r="AQ38" i="21"/>
  <c r="AV38" i="21"/>
  <c r="BA38" i="21"/>
  <c r="AB38" i="21"/>
  <c r="AI38" i="21"/>
  <c r="AP38" i="21"/>
  <c r="AU38" i="21"/>
  <c r="AZ38" i="21"/>
  <c r="S38" i="21"/>
  <c r="T38" i="21"/>
  <c r="BN38" i="21" s="1"/>
  <c r="AJ37" i="21"/>
  <c r="AQ37" i="21"/>
  <c r="AV37" i="21"/>
  <c r="BA37" i="21"/>
  <c r="AB37" i="21"/>
  <c r="AI37" i="21"/>
  <c r="AP37" i="21"/>
  <c r="AU37" i="21"/>
  <c r="AZ37" i="21"/>
  <c r="S37" i="21"/>
  <c r="T37" i="21"/>
  <c r="BN37" i="21" s="1"/>
  <c r="AJ36" i="21"/>
  <c r="AQ36" i="21"/>
  <c r="AV36" i="21"/>
  <c r="BA36" i="21"/>
  <c r="AB36" i="21"/>
  <c r="AI36" i="21"/>
  <c r="AP36" i="21"/>
  <c r="AU36" i="21"/>
  <c r="AZ36" i="21"/>
  <c r="S36" i="21"/>
  <c r="T36" i="21"/>
  <c r="BN36" i="21" s="1"/>
  <c r="AJ35" i="21"/>
  <c r="AQ35" i="21"/>
  <c r="AV35" i="21"/>
  <c r="BA35" i="21"/>
  <c r="AB35" i="21"/>
  <c r="AI35" i="21"/>
  <c r="AP35" i="21"/>
  <c r="AU35" i="21"/>
  <c r="AZ35" i="21"/>
  <c r="S35" i="21"/>
  <c r="T35" i="21"/>
  <c r="BN35" i="21" s="1"/>
  <c r="AJ34" i="21"/>
  <c r="AQ34" i="21"/>
  <c r="AV34" i="21"/>
  <c r="BA34" i="21"/>
  <c r="AB34" i="21"/>
  <c r="AI34" i="21"/>
  <c r="AP34" i="21"/>
  <c r="AU34" i="21"/>
  <c r="AZ34" i="21"/>
  <c r="S34" i="21"/>
  <c r="T34" i="21"/>
  <c r="BN34" i="21" s="1"/>
  <c r="AJ33" i="21"/>
  <c r="AQ33" i="21"/>
  <c r="AV33" i="21"/>
  <c r="BA33" i="21"/>
  <c r="AB33" i="21"/>
  <c r="AI33" i="21"/>
  <c r="AP33" i="21"/>
  <c r="AU33" i="21"/>
  <c r="AZ33" i="21"/>
  <c r="S33" i="21"/>
  <c r="T33" i="21"/>
  <c r="BN33" i="21" s="1"/>
  <c r="AJ32" i="21"/>
  <c r="AQ32" i="21"/>
  <c r="AV32" i="21"/>
  <c r="BA32" i="21"/>
  <c r="AB32" i="21"/>
  <c r="AI32" i="21"/>
  <c r="AP32" i="21"/>
  <c r="AU32" i="21"/>
  <c r="AZ32" i="21"/>
  <c r="S32" i="21"/>
  <c r="T32" i="21"/>
  <c r="BN32" i="21" s="1"/>
  <c r="AJ31" i="21"/>
  <c r="AQ31" i="21"/>
  <c r="AV31" i="21"/>
  <c r="BA31" i="21"/>
  <c r="AB31" i="21"/>
  <c r="AI31" i="21"/>
  <c r="AP31" i="21"/>
  <c r="AU31" i="21"/>
  <c r="AZ31" i="21"/>
  <c r="S31" i="21"/>
  <c r="T31" i="21"/>
  <c r="BN31" i="21" s="1"/>
  <c r="AJ30" i="21"/>
  <c r="AQ30" i="21"/>
  <c r="AV30" i="21"/>
  <c r="BA30" i="21"/>
  <c r="AB30" i="21"/>
  <c r="AI30" i="21"/>
  <c r="AP30" i="21"/>
  <c r="AU30" i="21"/>
  <c r="AZ30" i="21"/>
  <c r="S30" i="21"/>
  <c r="T30" i="21"/>
  <c r="BN30" i="21" s="1"/>
  <c r="AJ29" i="21"/>
  <c r="AQ29" i="21"/>
  <c r="AV29" i="21"/>
  <c r="BA29" i="21"/>
  <c r="AB29" i="21"/>
  <c r="AI29" i="21"/>
  <c r="AP29" i="21"/>
  <c r="AU29" i="21"/>
  <c r="AZ29" i="21"/>
  <c r="S29" i="21"/>
  <c r="T29" i="21"/>
  <c r="BN29" i="21" s="1"/>
  <c r="AB27" i="21"/>
  <c r="AI27" i="21"/>
  <c r="AP27" i="21"/>
  <c r="AU27" i="21"/>
  <c r="AZ27" i="21"/>
  <c r="S27" i="21"/>
  <c r="T27" i="21"/>
  <c r="BN27" i="21" s="1"/>
  <c r="AJ27" i="21"/>
  <c r="AQ27" i="21"/>
  <c r="AV27" i="21"/>
  <c r="BA27" i="21"/>
  <c r="AB26" i="21"/>
  <c r="AI26" i="21"/>
  <c r="AP26" i="21"/>
  <c r="AU26" i="21"/>
  <c r="AZ26" i="21"/>
  <c r="S26" i="21"/>
  <c r="T26" i="21"/>
  <c r="BN26" i="21" s="1"/>
  <c r="AJ26" i="21"/>
  <c r="AQ26" i="21"/>
  <c r="AV26" i="21"/>
  <c r="BA26" i="21"/>
  <c r="AJ25" i="21"/>
  <c r="AQ25" i="21"/>
  <c r="AV25" i="21"/>
  <c r="BA25" i="21"/>
  <c r="AB25" i="21"/>
  <c r="AI25" i="21"/>
  <c r="AP25" i="21"/>
  <c r="AU25" i="21"/>
  <c r="AZ25" i="21"/>
  <c r="S25" i="21"/>
  <c r="T25" i="21"/>
  <c r="BN25" i="21" s="1"/>
  <c r="AB24" i="21"/>
  <c r="AI24" i="21"/>
  <c r="AP24" i="21"/>
  <c r="AU24" i="21"/>
  <c r="AZ24" i="21"/>
  <c r="S24" i="21"/>
  <c r="T24" i="21"/>
  <c r="BN24" i="21" s="1"/>
  <c r="AJ24" i="21"/>
  <c r="AQ24" i="21"/>
  <c r="AV24" i="21"/>
  <c r="BA24" i="21"/>
  <c r="AB23" i="21"/>
  <c r="AI23" i="21"/>
  <c r="AP23" i="21"/>
  <c r="AU23" i="21"/>
  <c r="AZ23" i="21"/>
  <c r="T23" i="21"/>
  <c r="BN23" i="21" s="1"/>
  <c r="S23" i="21"/>
  <c r="AQ23" i="21"/>
  <c r="AV23" i="21"/>
  <c r="BA23" i="21"/>
  <c r="AJ23" i="21"/>
  <c r="AB22" i="21"/>
  <c r="AI22" i="21"/>
  <c r="AP22" i="21"/>
  <c r="AU22" i="21"/>
  <c r="T22" i="21"/>
  <c r="BN22" i="21" s="1"/>
  <c r="AZ22" i="21"/>
  <c r="S22" i="21"/>
  <c r="AJ22" i="21"/>
  <c r="AQ22" i="21"/>
  <c r="AV22" i="21"/>
  <c r="BA22" i="21"/>
  <c r="BI141" i="21" l="1"/>
  <c r="AO107" i="21"/>
  <c r="AT103" i="21"/>
  <c r="AA103" i="21"/>
  <c r="P103" i="21"/>
  <c r="AG103" i="21" s="1"/>
  <c r="R103" i="21"/>
  <c r="AO103" i="21"/>
  <c r="Q103" i="21"/>
  <c r="AH103" i="21"/>
  <c r="AH119" i="21"/>
  <c r="AO119" i="21"/>
  <c r="BN103" i="21"/>
  <c r="BD103" i="21"/>
  <c r="AY103" i="21"/>
  <c r="R107" i="21"/>
  <c r="BN107" i="21"/>
  <c r="BI107" i="21"/>
  <c r="Q107" i="21"/>
  <c r="P107" i="21"/>
  <c r="Z107" i="21" s="1"/>
  <c r="AH107" i="21"/>
  <c r="AT107" i="21"/>
  <c r="BD107" i="21"/>
  <c r="AY107" i="21"/>
  <c r="R119" i="21"/>
  <c r="AT119" i="21"/>
  <c r="AY119" i="21"/>
  <c r="Q89" i="21"/>
  <c r="Q154" i="21"/>
  <c r="AA89" i="21"/>
  <c r="AH89" i="21"/>
  <c r="AO89" i="21"/>
  <c r="BD89" i="21"/>
  <c r="R89" i="21"/>
  <c r="BI87" i="21"/>
  <c r="BI154" i="21"/>
  <c r="AT89" i="21"/>
  <c r="AA119" i="21"/>
  <c r="P124" i="21"/>
  <c r="AT124" i="21"/>
  <c r="AY124" i="21"/>
  <c r="BD124" i="21"/>
  <c r="BI124" i="21"/>
  <c r="AH124" i="21"/>
  <c r="R124" i="21"/>
  <c r="AO124" i="21"/>
  <c r="BN124" i="21"/>
  <c r="Q124" i="21"/>
  <c r="AA124" i="21"/>
  <c r="AY89" i="21"/>
  <c r="P119" i="21"/>
  <c r="AG119" i="21" s="1"/>
  <c r="BI149" i="21"/>
  <c r="BI119" i="21"/>
  <c r="P89" i="21"/>
  <c r="Z89" i="21" s="1"/>
  <c r="Q119" i="21"/>
  <c r="BD119" i="21"/>
  <c r="BI89" i="21"/>
  <c r="AS154" i="21"/>
  <c r="AX154" i="21"/>
  <c r="AN154" i="21"/>
  <c r="Z154" i="21"/>
  <c r="AG154" i="21"/>
  <c r="BD88" i="21"/>
  <c r="AX157" i="21"/>
  <c r="AN157" i="21"/>
  <c r="Z157" i="21"/>
  <c r="AG157" i="21"/>
  <c r="AS157" i="21"/>
  <c r="BI156" i="21"/>
  <c r="AO154" i="21"/>
  <c r="AT154" i="21"/>
  <c r="AA154" i="21"/>
  <c r="BN154" i="21"/>
  <c r="R154" i="21"/>
  <c r="AH154" i="21"/>
  <c r="BD154" i="21"/>
  <c r="BI91" i="21"/>
  <c r="AY154" i="21"/>
  <c r="P91" i="21"/>
  <c r="AH91" i="21"/>
  <c r="AY91" i="21"/>
  <c r="Q91" i="21"/>
  <c r="AT91" i="21"/>
  <c r="AO91" i="21"/>
  <c r="AA91" i="21"/>
  <c r="BN91" i="21"/>
  <c r="R91" i="21"/>
  <c r="R141" i="21"/>
  <c r="Q141" i="21"/>
  <c r="BN141" i="21"/>
  <c r="AH141" i="21"/>
  <c r="AY141" i="21"/>
  <c r="AT141" i="21"/>
  <c r="AO141" i="21"/>
  <c r="AA141" i="21"/>
  <c r="P141" i="21"/>
  <c r="BN149" i="21"/>
  <c r="P149" i="21"/>
  <c r="R149" i="21"/>
  <c r="AO149" i="21"/>
  <c r="AH149" i="21"/>
  <c r="AA149" i="21"/>
  <c r="Q149" i="21"/>
  <c r="AY149" i="21"/>
  <c r="AT149" i="21"/>
  <c r="R87" i="21"/>
  <c r="P87" i="21"/>
  <c r="AY87" i="21"/>
  <c r="AT87" i="21"/>
  <c r="AA87" i="21"/>
  <c r="AH87" i="21"/>
  <c r="BN87" i="21"/>
  <c r="Q87" i="21"/>
  <c r="AO87" i="21"/>
  <c r="AT88" i="21"/>
  <c r="AA88" i="21"/>
  <c r="R88" i="21"/>
  <c r="Q88" i="21"/>
  <c r="AY88" i="21"/>
  <c r="AH88" i="21"/>
  <c r="BN156" i="21"/>
  <c r="Q156" i="21"/>
  <c r="AA156" i="21"/>
  <c r="R156" i="21"/>
  <c r="P156" i="21"/>
  <c r="AY156" i="21"/>
  <c r="AT156" i="21"/>
  <c r="AO156" i="21"/>
  <c r="AH156" i="21"/>
  <c r="BN88" i="21"/>
  <c r="AO88" i="21"/>
  <c r="P88" i="21"/>
  <c r="BD131" i="21"/>
  <c r="BI131" i="21"/>
  <c r="BD155" i="21"/>
  <c r="BI155" i="21"/>
  <c r="BD15" i="21"/>
  <c r="BI15" i="21"/>
  <c r="BD9" i="21"/>
  <c r="BI9" i="21"/>
  <c r="BD14" i="21"/>
  <c r="BI14" i="21"/>
  <c r="BD76" i="21"/>
  <c r="BI76" i="21"/>
  <c r="BD55" i="21"/>
  <c r="BI55" i="21"/>
  <c r="BD142" i="21"/>
  <c r="BI142" i="21"/>
  <c r="BD143" i="21"/>
  <c r="BI143" i="21"/>
  <c r="BD90" i="21"/>
  <c r="BI90" i="21"/>
  <c r="BD92" i="21"/>
  <c r="BI92" i="21"/>
  <c r="BD144" i="21"/>
  <c r="BI144" i="21"/>
  <c r="BD145" i="21"/>
  <c r="BI145" i="21"/>
  <c r="BD146" i="21"/>
  <c r="BI146" i="21"/>
  <c r="BD147" i="21"/>
  <c r="BI147" i="21"/>
  <c r="BD148" i="21"/>
  <c r="BI148" i="21"/>
  <c r="BD83" i="21"/>
  <c r="BI83" i="21"/>
  <c r="BD84" i="21"/>
  <c r="BI84" i="21"/>
  <c r="BD85" i="21"/>
  <c r="BI85" i="21"/>
  <c r="BD86" i="21"/>
  <c r="BI86" i="21"/>
  <c r="BD10" i="21"/>
  <c r="BI10" i="21"/>
  <c r="BD17" i="21"/>
  <c r="BI17" i="21"/>
  <c r="BD7" i="21"/>
  <c r="BI7" i="21"/>
  <c r="BD8" i="21"/>
  <c r="BI8" i="21"/>
  <c r="BD21" i="21"/>
  <c r="BI21" i="21"/>
  <c r="BD13" i="21"/>
  <c r="BI13" i="21"/>
  <c r="BD12" i="21"/>
  <c r="BI12" i="21"/>
  <c r="BD20" i="21"/>
  <c r="BI20" i="21"/>
  <c r="BD19" i="21"/>
  <c r="BI19" i="21"/>
  <c r="BD11" i="21"/>
  <c r="BI11" i="21"/>
  <c r="BD18" i="21"/>
  <c r="BI18" i="21"/>
  <c r="BD16" i="21"/>
  <c r="BI16" i="21"/>
  <c r="BD130" i="21"/>
  <c r="BI130" i="21"/>
  <c r="BD28" i="21"/>
  <c r="BI28" i="21"/>
  <c r="BD160" i="21"/>
  <c r="BI160" i="21"/>
  <c r="BD159" i="21"/>
  <c r="BI159" i="21"/>
  <c r="BD158" i="21"/>
  <c r="BI158" i="21"/>
  <c r="BD153" i="21"/>
  <c r="BI153" i="21"/>
  <c r="BD152" i="21"/>
  <c r="BI152" i="21"/>
  <c r="BD151" i="21"/>
  <c r="BI151" i="21"/>
  <c r="BD150" i="21"/>
  <c r="BI150" i="21"/>
  <c r="BD140" i="21"/>
  <c r="BI140" i="21"/>
  <c r="BD139" i="21"/>
  <c r="BI139" i="21"/>
  <c r="BD138" i="21"/>
  <c r="BI138" i="21"/>
  <c r="BD137" i="21"/>
  <c r="BI137" i="21"/>
  <c r="BD136" i="21"/>
  <c r="BI136" i="21"/>
  <c r="BD135" i="21"/>
  <c r="BI135" i="21"/>
  <c r="BD134" i="21"/>
  <c r="BI134" i="21"/>
  <c r="BD133" i="21"/>
  <c r="BI133" i="21"/>
  <c r="BD129" i="21"/>
  <c r="BI129" i="21"/>
  <c r="BD128" i="21"/>
  <c r="BI128" i="21"/>
  <c r="BD127" i="21"/>
  <c r="BI127" i="21"/>
  <c r="BD126" i="21"/>
  <c r="BI126" i="21"/>
  <c r="BD125" i="21"/>
  <c r="BI125" i="21"/>
  <c r="BD123" i="21"/>
  <c r="BI123" i="21"/>
  <c r="BD122" i="21"/>
  <c r="BI122" i="21"/>
  <c r="BD121" i="21"/>
  <c r="BI121" i="21"/>
  <c r="BD120" i="21"/>
  <c r="BI120" i="21"/>
  <c r="BD118" i="21"/>
  <c r="BI118" i="21"/>
  <c r="BD117" i="21"/>
  <c r="BI117" i="21"/>
  <c r="BD116" i="21"/>
  <c r="BI116" i="21"/>
  <c r="BD115" i="21"/>
  <c r="BI115" i="21"/>
  <c r="BD114" i="21"/>
  <c r="BI114" i="21"/>
  <c r="BD113" i="21"/>
  <c r="BI113" i="21"/>
  <c r="BD112" i="21"/>
  <c r="BI112" i="21"/>
  <c r="BD111" i="21"/>
  <c r="BI111" i="21"/>
  <c r="BD110" i="21"/>
  <c r="BI110" i="21"/>
  <c r="BD109" i="21"/>
  <c r="BI109" i="21"/>
  <c r="BD108" i="21"/>
  <c r="BI108" i="21"/>
  <c r="BD106" i="21"/>
  <c r="BI106" i="21"/>
  <c r="BD105" i="21"/>
  <c r="BI105" i="21"/>
  <c r="BD104" i="21"/>
  <c r="BI104" i="21"/>
  <c r="BD102" i="21"/>
  <c r="BI102" i="21"/>
  <c r="BD101" i="21"/>
  <c r="BI101" i="21"/>
  <c r="BD100" i="21"/>
  <c r="BI100" i="21"/>
  <c r="BD99" i="21"/>
  <c r="BI99" i="21"/>
  <c r="BD98" i="21"/>
  <c r="BI98" i="21"/>
  <c r="BD97" i="21"/>
  <c r="BI97" i="21"/>
  <c r="BD96" i="21"/>
  <c r="BI96" i="21"/>
  <c r="BD95" i="21"/>
  <c r="BI95" i="21"/>
  <c r="BD94" i="21"/>
  <c r="BI94" i="21"/>
  <c r="BD93" i="21"/>
  <c r="BI93" i="21"/>
  <c r="BD82" i="21"/>
  <c r="BI82" i="21"/>
  <c r="BD81" i="21"/>
  <c r="BI81" i="21"/>
  <c r="BD80" i="21"/>
  <c r="BI80" i="21"/>
  <c r="BD79" i="21"/>
  <c r="BI79" i="21"/>
  <c r="BD78" i="21"/>
  <c r="BI78" i="21"/>
  <c r="BD77" i="21"/>
  <c r="BI77" i="21"/>
  <c r="BD75" i="21"/>
  <c r="BI75" i="21"/>
  <c r="BD74" i="21"/>
  <c r="BI74" i="21"/>
  <c r="BD73" i="21"/>
  <c r="BI73" i="21"/>
  <c r="BD72" i="21"/>
  <c r="BI72" i="21"/>
  <c r="BD71" i="21"/>
  <c r="BI71" i="21"/>
  <c r="BD70" i="21"/>
  <c r="BI70" i="21"/>
  <c r="BD69" i="21"/>
  <c r="BI69" i="21"/>
  <c r="BD68" i="21"/>
  <c r="BI68" i="21"/>
  <c r="BD67" i="21"/>
  <c r="BI67" i="21"/>
  <c r="BD66" i="21"/>
  <c r="BI66" i="21"/>
  <c r="BD65" i="21"/>
  <c r="BI65" i="21"/>
  <c r="BD64" i="21"/>
  <c r="BI64" i="21"/>
  <c r="BD63" i="21"/>
  <c r="BI63" i="21"/>
  <c r="BD62" i="21"/>
  <c r="BI62" i="21"/>
  <c r="BD61" i="21"/>
  <c r="BI61" i="21"/>
  <c r="BD60" i="21"/>
  <c r="BI60" i="21"/>
  <c r="BD59" i="21"/>
  <c r="BI59" i="21"/>
  <c r="BD58" i="21"/>
  <c r="BI58" i="21"/>
  <c r="BD57" i="21"/>
  <c r="BI57" i="21"/>
  <c r="BD56" i="21"/>
  <c r="BI56" i="21"/>
  <c r="BD54" i="21"/>
  <c r="BI54" i="21"/>
  <c r="BD53" i="21"/>
  <c r="BI53" i="21"/>
  <c r="BD52" i="21"/>
  <c r="BI52" i="21"/>
  <c r="BD51" i="21"/>
  <c r="BI51" i="21"/>
  <c r="BD50" i="21"/>
  <c r="BI50" i="21"/>
  <c r="BD49" i="21"/>
  <c r="BI49" i="21"/>
  <c r="BD48" i="21"/>
  <c r="BI48" i="21"/>
  <c r="BD47" i="21"/>
  <c r="BI47" i="21"/>
  <c r="BD46" i="21"/>
  <c r="BI46" i="21"/>
  <c r="BD45" i="21"/>
  <c r="BI45" i="21"/>
  <c r="BD44" i="21"/>
  <c r="BI44" i="21"/>
  <c r="BD43" i="21"/>
  <c r="BI43" i="21"/>
  <c r="BD42" i="21"/>
  <c r="BI42" i="21"/>
  <c r="BD41" i="21"/>
  <c r="BI41" i="21"/>
  <c r="BD40" i="21"/>
  <c r="BI40" i="21"/>
  <c r="BD39" i="21"/>
  <c r="BI39" i="21"/>
  <c r="BD38" i="21"/>
  <c r="BI38" i="21"/>
  <c r="BD37" i="21"/>
  <c r="BI37" i="21"/>
  <c r="BD36" i="21"/>
  <c r="BI36" i="21"/>
  <c r="BD35" i="21"/>
  <c r="BI35" i="21"/>
  <c r="BD34" i="21"/>
  <c r="BI34" i="21"/>
  <c r="BD33" i="21"/>
  <c r="BI33" i="21"/>
  <c r="BD32" i="21"/>
  <c r="BI32" i="21"/>
  <c r="BD31" i="21"/>
  <c r="BI31" i="21"/>
  <c r="BD30" i="21"/>
  <c r="BI30" i="21"/>
  <c r="BD29" i="21"/>
  <c r="BI29" i="21"/>
  <c r="BD27" i="21"/>
  <c r="BI27" i="21"/>
  <c r="BD26" i="21"/>
  <c r="BI26" i="21"/>
  <c r="BD25" i="21"/>
  <c r="BI25" i="21"/>
  <c r="BD24" i="21"/>
  <c r="BI24" i="21"/>
  <c r="BD23" i="21"/>
  <c r="BI23" i="21"/>
  <c r="BD22" i="21"/>
  <c r="BI22" i="21"/>
  <c r="BD5" i="21"/>
  <c r="BI5" i="21"/>
  <c r="AY131" i="21"/>
  <c r="AT131" i="21"/>
  <c r="AO131" i="21"/>
  <c r="AH131" i="21"/>
  <c r="AA131" i="21"/>
  <c r="R131" i="21"/>
  <c r="Q131" i="21"/>
  <c r="P131" i="21"/>
  <c r="AY155" i="21"/>
  <c r="AT155" i="21"/>
  <c r="AO155" i="21"/>
  <c r="AH155" i="21"/>
  <c r="AA155" i="21"/>
  <c r="R155" i="21"/>
  <c r="Q155" i="21"/>
  <c r="P155" i="21"/>
  <c r="P15" i="21"/>
  <c r="AH15" i="21"/>
  <c r="AO15" i="21"/>
  <c r="AT15" i="21"/>
  <c r="AY15" i="21"/>
  <c r="Q15" i="21"/>
  <c r="R15" i="21"/>
  <c r="AA15" i="21"/>
  <c r="AT9" i="21"/>
  <c r="AA9" i="21"/>
  <c r="AH9" i="21"/>
  <c r="AO9" i="21"/>
  <c r="P9" i="21"/>
  <c r="Q9" i="21"/>
  <c r="R9" i="21"/>
  <c r="AY9" i="21"/>
  <c r="P14" i="21"/>
  <c r="Q14" i="21"/>
  <c r="R14" i="21"/>
  <c r="AY14" i="21"/>
  <c r="AT14" i="21"/>
  <c r="AO14" i="21"/>
  <c r="AH14" i="21"/>
  <c r="AA14" i="21"/>
  <c r="AT90" i="21"/>
  <c r="AA90" i="21"/>
  <c r="AY90" i="21"/>
  <c r="P90" i="21"/>
  <c r="AO90" i="21"/>
  <c r="R90" i="21"/>
  <c r="Q90" i="21"/>
  <c r="AH90" i="21"/>
  <c r="AY92" i="21"/>
  <c r="P92" i="21"/>
  <c r="AO92" i="21"/>
  <c r="Q92" i="21"/>
  <c r="AA92" i="21"/>
  <c r="AH92" i="21"/>
  <c r="AT92" i="21"/>
  <c r="R92" i="21"/>
  <c r="AY76" i="21"/>
  <c r="AT76" i="21"/>
  <c r="AO76" i="21"/>
  <c r="AH76" i="21"/>
  <c r="AA76" i="21"/>
  <c r="R76" i="21"/>
  <c r="Q76" i="21"/>
  <c r="P76" i="21"/>
  <c r="AH55" i="21"/>
  <c r="AY55" i="21"/>
  <c r="AT55" i="21"/>
  <c r="AO55" i="21"/>
  <c r="AA55" i="21"/>
  <c r="R55" i="21"/>
  <c r="Q55" i="21"/>
  <c r="P55" i="21"/>
  <c r="R142" i="21"/>
  <c r="Q142" i="21"/>
  <c r="P142" i="21"/>
  <c r="AY142" i="21"/>
  <c r="AT142" i="21"/>
  <c r="AO142" i="21"/>
  <c r="AH142" i="21"/>
  <c r="AA142" i="21"/>
  <c r="R143" i="21"/>
  <c r="Q143" i="21"/>
  <c r="P143" i="21"/>
  <c r="AY143" i="21"/>
  <c r="AT143" i="21"/>
  <c r="AO143" i="21"/>
  <c r="AH143" i="21"/>
  <c r="AA143" i="21"/>
  <c r="Q144" i="21"/>
  <c r="P144" i="21"/>
  <c r="AO144" i="21"/>
  <c r="AT144" i="21"/>
  <c r="AA144" i="21"/>
  <c r="R144" i="21"/>
  <c r="AY144" i="21"/>
  <c r="AH144" i="21"/>
  <c r="P145" i="21"/>
  <c r="AY145" i="21"/>
  <c r="AO145" i="21"/>
  <c r="AH145" i="21"/>
  <c r="AA145" i="21"/>
  <c r="R145" i="21"/>
  <c r="Q145" i="21"/>
  <c r="AT145" i="21"/>
  <c r="P146" i="21"/>
  <c r="Q146" i="21"/>
  <c r="AA146" i="21"/>
  <c r="AO146" i="21"/>
  <c r="AH146" i="21"/>
  <c r="R146" i="21"/>
  <c r="AY146" i="21"/>
  <c r="AT146" i="21"/>
  <c r="R147" i="21"/>
  <c r="Q147" i="21"/>
  <c r="P147" i="21"/>
  <c r="AY147" i="21"/>
  <c r="AO147" i="21"/>
  <c r="AH147" i="21"/>
  <c r="AT147" i="21"/>
  <c r="AA147" i="21"/>
  <c r="AH148" i="21"/>
  <c r="R148" i="21"/>
  <c r="Q148" i="21"/>
  <c r="AY148" i="21"/>
  <c r="AO148" i="21"/>
  <c r="AA148" i="21"/>
  <c r="P148" i="21"/>
  <c r="AT148" i="21"/>
  <c r="Q83" i="21"/>
  <c r="AY83" i="21"/>
  <c r="P83" i="21"/>
  <c r="AO83" i="21"/>
  <c r="R83" i="21"/>
  <c r="AT83" i="21"/>
  <c r="AH83" i="21"/>
  <c r="AA83" i="21"/>
  <c r="R84" i="21"/>
  <c r="AY84" i="21"/>
  <c r="Q84" i="21"/>
  <c r="AT84" i="21"/>
  <c r="AO84" i="21"/>
  <c r="P84" i="21"/>
  <c r="AH84" i="21"/>
  <c r="AA84" i="21"/>
  <c r="R85" i="21"/>
  <c r="AH85" i="21"/>
  <c r="P85" i="21"/>
  <c r="AA85" i="21"/>
  <c r="Q85" i="21"/>
  <c r="AT85" i="21"/>
  <c r="AO85" i="21"/>
  <c r="AY85" i="21"/>
  <c r="P86" i="21"/>
  <c r="AO86" i="21"/>
  <c r="AH86" i="21"/>
  <c r="R86" i="21"/>
  <c r="AT86" i="21"/>
  <c r="AA86" i="21"/>
  <c r="AY86" i="21"/>
  <c r="Q86" i="21"/>
  <c r="AA10" i="21"/>
  <c r="AH10" i="21"/>
  <c r="AO10" i="21"/>
  <c r="AT10" i="21"/>
  <c r="AY10" i="21"/>
  <c r="R10" i="21"/>
  <c r="Q10" i="21"/>
  <c r="P10" i="21"/>
  <c r="AH17" i="21"/>
  <c r="AT17" i="21"/>
  <c r="AO17" i="21"/>
  <c r="AA17" i="21"/>
  <c r="AY17" i="21"/>
  <c r="R17" i="21"/>
  <c r="Q17" i="21"/>
  <c r="P17" i="21"/>
  <c r="R5" i="21"/>
  <c r="P5" i="21"/>
  <c r="Q5" i="21"/>
  <c r="AY7" i="21"/>
  <c r="AT7" i="21"/>
  <c r="R7" i="21"/>
  <c r="Q7" i="21"/>
  <c r="P7" i="21"/>
  <c r="AH7" i="21"/>
  <c r="AA7" i="21"/>
  <c r="AO7" i="21"/>
  <c r="AY8" i="21"/>
  <c r="P8" i="21"/>
  <c r="AO8" i="21"/>
  <c r="AH8" i="21"/>
  <c r="AA8" i="21"/>
  <c r="R8" i="21"/>
  <c r="Q8" i="21"/>
  <c r="AT8" i="21"/>
  <c r="AY21" i="21"/>
  <c r="AA21" i="21"/>
  <c r="AT21" i="21"/>
  <c r="AO21" i="21"/>
  <c r="AH21" i="21"/>
  <c r="AY13" i="21"/>
  <c r="AT13" i="21"/>
  <c r="AO13" i="21"/>
  <c r="AH13" i="21"/>
  <c r="AA13" i="21"/>
  <c r="AO12" i="21"/>
  <c r="AA12" i="21"/>
  <c r="AH12" i="21"/>
  <c r="AY12" i="21"/>
  <c r="AT12" i="21"/>
  <c r="AY20" i="21"/>
  <c r="AH20" i="21"/>
  <c r="AA20" i="21"/>
  <c r="AO20" i="21"/>
  <c r="AT20" i="21"/>
  <c r="AY19" i="21"/>
  <c r="AT19" i="21"/>
  <c r="AH19" i="21"/>
  <c r="AA19" i="21"/>
  <c r="AO19" i="21"/>
  <c r="AT11" i="21"/>
  <c r="AY11" i="21"/>
  <c r="AO11" i="21"/>
  <c r="AH11" i="21"/>
  <c r="AA11" i="21"/>
  <c r="R11" i="21"/>
  <c r="Q11" i="21"/>
  <c r="P11" i="21"/>
  <c r="AA18" i="21"/>
  <c r="AY18" i="21"/>
  <c r="AT18" i="21"/>
  <c r="AO18" i="21"/>
  <c r="AH18" i="21"/>
  <c r="AY5" i="21"/>
  <c r="AT5" i="21"/>
  <c r="AO5" i="21"/>
  <c r="AH5" i="21"/>
  <c r="AA5" i="21"/>
  <c r="R21" i="21"/>
  <c r="Q21" i="21"/>
  <c r="P21" i="21"/>
  <c r="R13" i="21"/>
  <c r="Q13" i="21"/>
  <c r="P13" i="21"/>
  <c r="R12" i="21"/>
  <c r="Q12" i="21"/>
  <c r="P12" i="21"/>
  <c r="R20" i="21"/>
  <c r="Q20" i="21"/>
  <c r="P20" i="21"/>
  <c r="R19" i="21"/>
  <c r="Q19" i="21"/>
  <c r="P19" i="21"/>
  <c r="R18" i="21"/>
  <c r="Q18" i="21"/>
  <c r="P18" i="21"/>
  <c r="P16" i="21"/>
  <c r="Q16" i="21"/>
  <c r="R16" i="21"/>
  <c r="AY16" i="21"/>
  <c r="AT16" i="21"/>
  <c r="AO16" i="21"/>
  <c r="AH16" i="21"/>
  <c r="AA16" i="21"/>
  <c r="AG6" i="21"/>
  <c r="Z6" i="21"/>
  <c r="Y6" i="21" s="1"/>
  <c r="AN6" i="21"/>
  <c r="AS6" i="21"/>
  <c r="AX6" i="21"/>
  <c r="AA130" i="21"/>
  <c r="AT130" i="21"/>
  <c r="AY130" i="21"/>
  <c r="AO130" i="21"/>
  <c r="AH130" i="21"/>
  <c r="P130" i="21"/>
  <c r="Q130" i="21"/>
  <c r="R130" i="21"/>
  <c r="AA28" i="21"/>
  <c r="AH28" i="21"/>
  <c r="AO28" i="21"/>
  <c r="AT28" i="21"/>
  <c r="AY28" i="21"/>
  <c r="P28" i="21"/>
  <c r="Q28" i="21"/>
  <c r="R28" i="21"/>
  <c r="AA160" i="21"/>
  <c r="AH160" i="21"/>
  <c r="AO160" i="21"/>
  <c r="AT160" i="21"/>
  <c r="AY160" i="21"/>
  <c r="P160" i="21"/>
  <c r="Q160" i="21"/>
  <c r="R160" i="21"/>
  <c r="AA159" i="21"/>
  <c r="AH159" i="21"/>
  <c r="AO159" i="21"/>
  <c r="AT159" i="21"/>
  <c r="AY159" i="21"/>
  <c r="P159" i="21"/>
  <c r="Q159" i="21"/>
  <c r="R159" i="21"/>
  <c r="AA158" i="21"/>
  <c r="AH158" i="21"/>
  <c r="AO158" i="21"/>
  <c r="AT158" i="21"/>
  <c r="AY158" i="21"/>
  <c r="P158" i="21"/>
  <c r="Q158" i="21"/>
  <c r="R158" i="21"/>
  <c r="AA153" i="21"/>
  <c r="AH153" i="21"/>
  <c r="AO153" i="21"/>
  <c r="AT153" i="21"/>
  <c r="AY153" i="21"/>
  <c r="P153" i="21"/>
  <c r="Q153" i="21"/>
  <c r="R153" i="21"/>
  <c r="AA152" i="21"/>
  <c r="AH152" i="21"/>
  <c r="AO152" i="21"/>
  <c r="AT152" i="21"/>
  <c r="AY152" i="21"/>
  <c r="P152" i="21"/>
  <c r="Q152" i="21"/>
  <c r="R152" i="21"/>
  <c r="AA151" i="21"/>
  <c r="AH151" i="21"/>
  <c r="AO151" i="21"/>
  <c r="AT151" i="21"/>
  <c r="AY151" i="21"/>
  <c r="P151" i="21"/>
  <c r="Q151" i="21"/>
  <c r="R151" i="21"/>
  <c r="AA150" i="21"/>
  <c r="AH150" i="21"/>
  <c r="AO150" i="21"/>
  <c r="AT150" i="21"/>
  <c r="AY150" i="21"/>
  <c r="P150" i="21"/>
  <c r="Q150" i="21"/>
  <c r="R150" i="21"/>
  <c r="AA140" i="21"/>
  <c r="AH140" i="21"/>
  <c r="AO140" i="21"/>
  <c r="AT140" i="21"/>
  <c r="AY140" i="21"/>
  <c r="P140" i="21"/>
  <c r="Q140" i="21"/>
  <c r="R140" i="21"/>
  <c r="AA139" i="21"/>
  <c r="AH139" i="21"/>
  <c r="AO139" i="21"/>
  <c r="AT139" i="21"/>
  <c r="AY139" i="21"/>
  <c r="P139" i="21"/>
  <c r="Q139" i="21"/>
  <c r="R139" i="21"/>
  <c r="AA138" i="21"/>
  <c r="AH138" i="21"/>
  <c r="AO138" i="21"/>
  <c r="AT138" i="21"/>
  <c r="AY138" i="21"/>
  <c r="P138" i="21"/>
  <c r="Q138" i="21"/>
  <c r="R138" i="21"/>
  <c r="AA137" i="21"/>
  <c r="AH137" i="21"/>
  <c r="AO137" i="21"/>
  <c r="AT137" i="21"/>
  <c r="AY137" i="21"/>
  <c r="P137" i="21"/>
  <c r="Q137" i="21"/>
  <c r="R137" i="21"/>
  <c r="AA136" i="21"/>
  <c r="AH136" i="21"/>
  <c r="AO136" i="21"/>
  <c r="AT136" i="21"/>
  <c r="AY136" i="21"/>
  <c r="P136" i="21"/>
  <c r="Q136" i="21"/>
  <c r="R136" i="21"/>
  <c r="AA135" i="21"/>
  <c r="AH135" i="21"/>
  <c r="AO135" i="21"/>
  <c r="AT135" i="21"/>
  <c r="AY135" i="21"/>
  <c r="P135" i="21"/>
  <c r="Q135" i="21"/>
  <c r="R135" i="21"/>
  <c r="AA134" i="21"/>
  <c r="AH134" i="21"/>
  <c r="AO134" i="21"/>
  <c r="AT134" i="21"/>
  <c r="AY134" i="21"/>
  <c r="P134" i="21"/>
  <c r="Q134" i="21"/>
  <c r="R134" i="21"/>
  <c r="AA133" i="21"/>
  <c r="AH133" i="21"/>
  <c r="AO133" i="21"/>
  <c r="AT133" i="21"/>
  <c r="AY133" i="21"/>
  <c r="P133" i="21"/>
  <c r="Q133" i="21"/>
  <c r="R133" i="21"/>
  <c r="Z132" i="21"/>
  <c r="AG132" i="21"/>
  <c r="AN132" i="21"/>
  <c r="AS132" i="21"/>
  <c r="AX132" i="21"/>
  <c r="AA129" i="21"/>
  <c r="AH129" i="21"/>
  <c r="AO129" i="21"/>
  <c r="AT129" i="21"/>
  <c r="AY129" i="21"/>
  <c r="P129" i="21"/>
  <c r="Q129" i="21"/>
  <c r="R129" i="21"/>
  <c r="AH128" i="21"/>
  <c r="AO128" i="21"/>
  <c r="AT128" i="21"/>
  <c r="AY128" i="21"/>
  <c r="Q128" i="21"/>
  <c r="AA128" i="21"/>
  <c r="P128" i="21"/>
  <c r="R128" i="21"/>
  <c r="AH127" i="21"/>
  <c r="AO127" i="21"/>
  <c r="AT127" i="21"/>
  <c r="AY127" i="21"/>
  <c r="Q127" i="21"/>
  <c r="AA127" i="21"/>
  <c r="P127" i="21"/>
  <c r="R127" i="21"/>
  <c r="AA126" i="21"/>
  <c r="AY126" i="21"/>
  <c r="R126" i="21"/>
  <c r="AH126" i="21"/>
  <c r="AO126" i="21"/>
  <c r="AT126" i="21"/>
  <c r="P126" i="21"/>
  <c r="Q126" i="21"/>
  <c r="AH125" i="21"/>
  <c r="AY125" i="21"/>
  <c r="P125" i="21"/>
  <c r="Q125" i="21"/>
  <c r="AA125" i="21"/>
  <c r="AT125" i="21"/>
  <c r="AO125" i="21"/>
  <c r="R125" i="21"/>
  <c r="AA123" i="21"/>
  <c r="Q123" i="21"/>
  <c r="AH123" i="21"/>
  <c r="AO123" i="21"/>
  <c r="AY123" i="21"/>
  <c r="AT123" i="21"/>
  <c r="P123" i="21"/>
  <c r="R123" i="21"/>
  <c r="AO122" i="21"/>
  <c r="AY122" i="21"/>
  <c r="R122" i="21"/>
  <c r="AA122" i="21"/>
  <c r="AH122" i="21"/>
  <c r="AT122" i="21"/>
  <c r="P122" i="21"/>
  <c r="Q122" i="21"/>
  <c r="AH121" i="21"/>
  <c r="P121" i="21"/>
  <c r="Q121" i="21"/>
  <c r="R121" i="21"/>
  <c r="AA121" i="21"/>
  <c r="AO121" i="21"/>
  <c r="AT121" i="21"/>
  <c r="AY121" i="21"/>
  <c r="AH120" i="21"/>
  <c r="AO120" i="21"/>
  <c r="P120" i="21"/>
  <c r="Q120" i="21"/>
  <c r="R120" i="21"/>
  <c r="AA120" i="21"/>
  <c r="AT120" i="21"/>
  <c r="AY120" i="21"/>
  <c r="AH118" i="21"/>
  <c r="AO118" i="21"/>
  <c r="AT118" i="21"/>
  <c r="AA118" i="21"/>
  <c r="AY118" i="21"/>
  <c r="P118" i="21"/>
  <c r="Q118" i="21"/>
  <c r="R118" i="21"/>
  <c r="AH117" i="21"/>
  <c r="AO117" i="21"/>
  <c r="AY117" i="21"/>
  <c r="Q117" i="21"/>
  <c r="R117" i="21"/>
  <c r="AA117" i="21"/>
  <c r="AT117" i="21"/>
  <c r="P117" i="21"/>
  <c r="AT116" i="21"/>
  <c r="AY116" i="21"/>
  <c r="AH116" i="21"/>
  <c r="AO116" i="21"/>
  <c r="Q116" i="21"/>
  <c r="AA116" i="21"/>
  <c r="P116" i="21"/>
  <c r="R116" i="21"/>
  <c r="AA115" i="21"/>
  <c r="AO115" i="21"/>
  <c r="AH115" i="21"/>
  <c r="Q115" i="21"/>
  <c r="AT115" i="21"/>
  <c r="AY115" i="21"/>
  <c r="P115" i="21"/>
  <c r="R115" i="21"/>
  <c r="AA114" i="21"/>
  <c r="AT114" i="21"/>
  <c r="AH114" i="21"/>
  <c r="AY114" i="21"/>
  <c r="P114" i="21"/>
  <c r="AO114" i="21"/>
  <c r="Q114" i="21"/>
  <c r="R114" i="21"/>
  <c r="AH113" i="21"/>
  <c r="AO113" i="21"/>
  <c r="AT113" i="21"/>
  <c r="Q113" i="21"/>
  <c r="AA113" i="21"/>
  <c r="AY113" i="21"/>
  <c r="P113" i="21"/>
  <c r="R113" i="21"/>
  <c r="AH112" i="21"/>
  <c r="AO112" i="21"/>
  <c r="Q112" i="21"/>
  <c r="AA112" i="21"/>
  <c r="AT112" i="21"/>
  <c r="P112" i="21"/>
  <c r="AY112" i="21"/>
  <c r="R112" i="21"/>
  <c r="Q111" i="21"/>
  <c r="AO111" i="21"/>
  <c r="P111" i="21"/>
  <c r="R111" i="21"/>
  <c r="AA111" i="21"/>
  <c r="AH111" i="21"/>
  <c r="AY111" i="21"/>
  <c r="AT111" i="21"/>
  <c r="AA110" i="21"/>
  <c r="AH110" i="21"/>
  <c r="P110" i="21"/>
  <c r="AT110" i="21"/>
  <c r="Q110" i="21"/>
  <c r="R110" i="21"/>
  <c r="AO110" i="21"/>
  <c r="AY110" i="21"/>
  <c r="AH109" i="21"/>
  <c r="P109" i="21"/>
  <c r="AA109" i="21"/>
  <c r="AY109" i="21"/>
  <c r="Q109" i="21"/>
  <c r="R109" i="21"/>
  <c r="AO109" i="21"/>
  <c r="AT109" i="21"/>
  <c r="P108" i="21"/>
  <c r="AO108" i="21"/>
  <c r="AT108" i="21"/>
  <c r="AY108" i="21"/>
  <c r="R108" i="21"/>
  <c r="AA108" i="21"/>
  <c r="AH108" i="21"/>
  <c r="Q108" i="21"/>
  <c r="AY106" i="21"/>
  <c r="R106" i="21"/>
  <c r="Q106" i="21"/>
  <c r="AA106" i="21"/>
  <c r="AH106" i="21"/>
  <c r="P106" i="21"/>
  <c r="AO106" i="21"/>
  <c r="AT106" i="21"/>
  <c r="AA105" i="21"/>
  <c r="Q105" i="21"/>
  <c r="AH105" i="21"/>
  <c r="AO105" i="21"/>
  <c r="AY105" i="21"/>
  <c r="AT105" i="21"/>
  <c r="P105" i="21"/>
  <c r="R105" i="21"/>
  <c r="AA104" i="21"/>
  <c r="AH104" i="21"/>
  <c r="AO104" i="21"/>
  <c r="AT104" i="21"/>
  <c r="AY104" i="21"/>
  <c r="P104" i="21"/>
  <c r="Q104" i="21"/>
  <c r="R104" i="21"/>
  <c r="AA102" i="21"/>
  <c r="AH102" i="21"/>
  <c r="AO102" i="21"/>
  <c r="AT102" i="21"/>
  <c r="AY102" i="21"/>
  <c r="P102" i="21"/>
  <c r="Q102" i="21"/>
  <c r="R102" i="21"/>
  <c r="AA101" i="21"/>
  <c r="AH101" i="21"/>
  <c r="AO101" i="21"/>
  <c r="AT101" i="21"/>
  <c r="AY101" i="21"/>
  <c r="P101" i="21"/>
  <c r="Q101" i="21"/>
  <c r="R101" i="21"/>
  <c r="AA100" i="21"/>
  <c r="AH100" i="21"/>
  <c r="AO100" i="21"/>
  <c r="AT100" i="21"/>
  <c r="AY100" i="21"/>
  <c r="P100" i="21"/>
  <c r="Q100" i="21"/>
  <c r="R100" i="21"/>
  <c r="AA99" i="21"/>
  <c r="AH99" i="21"/>
  <c r="AO99" i="21"/>
  <c r="AT99" i="21"/>
  <c r="AY99" i="21"/>
  <c r="P99" i="21"/>
  <c r="Q99" i="21"/>
  <c r="R99" i="21"/>
  <c r="AA98" i="21"/>
  <c r="AH98" i="21"/>
  <c r="AO98" i="21"/>
  <c r="AT98" i="21"/>
  <c r="AY98" i="21"/>
  <c r="P98" i="21"/>
  <c r="Q98" i="21"/>
  <c r="R98" i="21"/>
  <c r="AA97" i="21"/>
  <c r="AH97" i="21"/>
  <c r="AO97" i="21"/>
  <c r="AT97" i="21"/>
  <c r="AY97" i="21"/>
  <c r="P97" i="21"/>
  <c r="Q97" i="21"/>
  <c r="R97" i="21"/>
  <c r="AA96" i="21"/>
  <c r="AH96" i="21"/>
  <c r="AO96" i="21"/>
  <c r="AT96" i="21"/>
  <c r="AY96" i="21"/>
  <c r="P96" i="21"/>
  <c r="Q96" i="21"/>
  <c r="R96" i="21"/>
  <c r="AA95" i="21"/>
  <c r="AH95" i="21"/>
  <c r="AO95" i="21"/>
  <c r="AT95" i="21"/>
  <c r="AY95" i="21"/>
  <c r="P95" i="21"/>
  <c r="Q95" i="21"/>
  <c r="R95" i="21"/>
  <c r="AA94" i="21"/>
  <c r="AH94" i="21"/>
  <c r="AO94" i="21"/>
  <c r="AT94" i="21"/>
  <c r="AY94" i="21"/>
  <c r="P94" i="21"/>
  <c r="Q94" i="21"/>
  <c r="R94" i="21"/>
  <c r="AA93" i="21"/>
  <c r="AH93" i="21"/>
  <c r="AO93" i="21"/>
  <c r="AT93" i="21"/>
  <c r="AY93" i="21"/>
  <c r="P93" i="21"/>
  <c r="Q93" i="21"/>
  <c r="R93" i="21"/>
  <c r="AA82" i="21"/>
  <c r="AH82" i="21"/>
  <c r="AO82" i="21"/>
  <c r="AT82" i="21"/>
  <c r="AY82" i="21"/>
  <c r="P82" i="21"/>
  <c r="Q82" i="21"/>
  <c r="R82" i="21"/>
  <c r="AA81" i="21"/>
  <c r="AH81" i="21"/>
  <c r="AO81" i="21"/>
  <c r="AT81" i="21"/>
  <c r="AY81" i="21"/>
  <c r="P81" i="21"/>
  <c r="Q81" i="21"/>
  <c r="R81" i="21"/>
  <c r="AA80" i="21"/>
  <c r="AH80" i="21"/>
  <c r="AO80" i="21"/>
  <c r="AT80" i="21"/>
  <c r="AY80" i="21"/>
  <c r="P80" i="21"/>
  <c r="Q80" i="21"/>
  <c r="R80" i="21"/>
  <c r="AA79" i="21"/>
  <c r="AH79" i="21"/>
  <c r="AO79" i="21"/>
  <c r="AT79" i="21"/>
  <c r="AY79" i="21"/>
  <c r="P79" i="21"/>
  <c r="Q79" i="21"/>
  <c r="R79" i="21"/>
  <c r="AA78" i="21"/>
  <c r="AH78" i="21"/>
  <c r="AO78" i="21"/>
  <c r="AT78" i="21"/>
  <c r="AY78" i="21"/>
  <c r="P78" i="21"/>
  <c r="Q78" i="21"/>
  <c r="R78" i="21"/>
  <c r="AA77" i="21"/>
  <c r="AH77" i="21"/>
  <c r="AO77" i="21"/>
  <c r="AT77" i="21"/>
  <c r="AY77" i="21"/>
  <c r="P77" i="21"/>
  <c r="Q77" i="21"/>
  <c r="R77" i="21"/>
  <c r="AA75" i="21"/>
  <c r="AH75" i="21"/>
  <c r="AO75" i="21"/>
  <c r="AT75" i="21"/>
  <c r="AY75" i="21"/>
  <c r="P75" i="21"/>
  <c r="Q75" i="21"/>
  <c r="R75" i="21"/>
  <c r="AA74" i="21"/>
  <c r="AH74" i="21"/>
  <c r="AO74" i="21"/>
  <c r="AT74" i="21"/>
  <c r="AY74" i="21"/>
  <c r="P74" i="21"/>
  <c r="Q74" i="21"/>
  <c r="R74" i="21"/>
  <c r="AA73" i="21"/>
  <c r="AH73" i="21"/>
  <c r="AO73" i="21"/>
  <c r="AT73" i="21"/>
  <c r="AY73" i="21"/>
  <c r="P73" i="21"/>
  <c r="Q73" i="21"/>
  <c r="R73" i="21"/>
  <c r="AA72" i="21"/>
  <c r="AH72" i="21"/>
  <c r="AO72" i="21"/>
  <c r="AT72" i="21"/>
  <c r="AY72" i="21"/>
  <c r="P72" i="21"/>
  <c r="Q72" i="21"/>
  <c r="R72" i="21"/>
  <c r="AA71" i="21"/>
  <c r="AH71" i="21"/>
  <c r="AO71" i="21"/>
  <c r="AT71" i="21"/>
  <c r="AY71" i="21"/>
  <c r="P71" i="21"/>
  <c r="Q71" i="21"/>
  <c r="R71" i="21"/>
  <c r="AA70" i="21"/>
  <c r="AH70" i="21"/>
  <c r="AO70" i="21"/>
  <c r="AT70" i="21"/>
  <c r="AY70" i="21"/>
  <c r="P70" i="21"/>
  <c r="Q70" i="21"/>
  <c r="R70" i="21"/>
  <c r="AA69" i="21"/>
  <c r="AH69" i="21"/>
  <c r="AO69" i="21"/>
  <c r="AT69" i="21"/>
  <c r="AY69" i="21"/>
  <c r="P69" i="21"/>
  <c r="Q69" i="21"/>
  <c r="R69" i="21"/>
  <c r="AA68" i="21"/>
  <c r="AH68" i="21"/>
  <c r="AO68" i="21"/>
  <c r="AT68" i="21"/>
  <c r="AY68" i="21"/>
  <c r="P68" i="21"/>
  <c r="Q68" i="21"/>
  <c r="R68" i="21"/>
  <c r="AA67" i="21"/>
  <c r="AH67" i="21"/>
  <c r="AO67" i="21"/>
  <c r="AT67" i="21"/>
  <c r="AY67" i="21"/>
  <c r="P67" i="21"/>
  <c r="Q67" i="21"/>
  <c r="R67" i="21"/>
  <c r="AA66" i="21"/>
  <c r="AH66" i="21"/>
  <c r="AO66" i="21"/>
  <c r="AT66" i="21"/>
  <c r="AY66" i="21"/>
  <c r="P66" i="21"/>
  <c r="Q66" i="21"/>
  <c r="R66" i="21"/>
  <c r="AA65" i="21"/>
  <c r="AH65" i="21"/>
  <c r="AO65" i="21"/>
  <c r="AT65" i="21"/>
  <c r="AY65" i="21"/>
  <c r="P65" i="21"/>
  <c r="Q65" i="21"/>
  <c r="R65" i="21"/>
  <c r="AA64" i="21"/>
  <c r="AH64" i="21"/>
  <c r="AO64" i="21"/>
  <c r="AT64" i="21"/>
  <c r="AY64" i="21"/>
  <c r="P64" i="21"/>
  <c r="Q64" i="21"/>
  <c r="R64" i="21"/>
  <c r="AA63" i="21"/>
  <c r="AH63" i="21"/>
  <c r="AO63" i="21"/>
  <c r="AT63" i="21"/>
  <c r="AY63" i="21"/>
  <c r="P63" i="21"/>
  <c r="Q63" i="21"/>
  <c r="R63" i="21"/>
  <c r="AA62" i="21"/>
  <c r="AH62" i="21"/>
  <c r="AO62" i="21"/>
  <c r="AT62" i="21"/>
  <c r="AY62" i="21"/>
  <c r="P62" i="21"/>
  <c r="Q62" i="21"/>
  <c r="R62" i="21"/>
  <c r="AA61" i="21"/>
  <c r="AH61" i="21"/>
  <c r="AO61" i="21"/>
  <c r="AT61" i="21"/>
  <c r="AY61" i="21"/>
  <c r="P61" i="21"/>
  <c r="Q61" i="21"/>
  <c r="R61" i="21"/>
  <c r="AA60" i="21"/>
  <c r="AH60" i="21"/>
  <c r="AO60" i="21"/>
  <c r="AT60" i="21"/>
  <c r="AY60" i="21"/>
  <c r="P60" i="21"/>
  <c r="Q60" i="21"/>
  <c r="R60" i="21"/>
  <c r="AA59" i="21"/>
  <c r="AH59" i="21"/>
  <c r="AO59" i="21"/>
  <c r="AT59" i="21"/>
  <c r="AY59" i="21"/>
  <c r="P59" i="21"/>
  <c r="Q59" i="21"/>
  <c r="R59" i="21"/>
  <c r="AA58" i="21"/>
  <c r="AH58" i="21"/>
  <c r="AO58" i="21"/>
  <c r="AT58" i="21"/>
  <c r="AY58" i="21"/>
  <c r="P58" i="21"/>
  <c r="Q58" i="21"/>
  <c r="R58" i="21"/>
  <c r="AA57" i="21"/>
  <c r="AH57" i="21"/>
  <c r="AO57" i="21"/>
  <c r="AT57" i="21"/>
  <c r="AY57" i="21"/>
  <c r="P57" i="21"/>
  <c r="Q57" i="21"/>
  <c r="R57" i="21"/>
  <c r="AA56" i="21"/>
  <c r="AH56" i="21"/>
  <c r="AO56" i="21"/>
  <c r="AT56" i="21"/>
  <c r="AY56" i="21"/>
  <c r="P56" i="21"/>
  <c r="Q56" i="21"/>
  <c r="R56" i="21"/>
  <c r="AA54" i="21"/>
  <c r="AH54" i="21"/>
  <c r="AO54" i="21"/>
  <c r="AT54" i="21"/>
  <c r="AY54" i="21"/>
  <c r="P54" i="21"/>
  <c r="Q54" i="21"/>
  <c r="R54" i="21"/>
  <c r="AA53" i="21"/>
  <c r="AH53" i="21"/>
  <c r="AO53" i="21"/>
  <c r="AT53" i="21"/>
  <c r="AY53" i="21"/>
  <c r="P53" i="21"/>
  <c r="Q53" i="21"/>
  <c r="R53" i="21"/>
  <c r="AA52" i="21"/>
  <c r="AH52" i="21"/>
  <c r="AO52" i="21"/>
  <c r="AT52" i="21"/>
  <c r="AY52" i="21"/>
  <c r="P52" i="21"/>
  <c r="Q52" i="21"/>
  <c r="R52" i="21"/>
  <c r="AA51" i="21"/>
  <c r="AH51" i="21"/>
  <c r="AO51" i="21"/>
  <c r="AT51" i="21"/>
  <c r="AY51" i="21"/>
  <c r="P51" i="21"/>
  <c r="Q51" i="21"/>
  <c r="R51" i="21"/>
  <c r="AA50" i="21"/>
  <c r="AH50" i="21"/>
  <c r="AO50" i="21"/>
  <c r="AT50" i="21"/>
  <c r="AY50" i="21"/>
  <c r="P50" i="21"/>
  <c r="Q50" i="21"/>
  <c r="R50" i="21"/>
  <c r="AA49" i="21"/>
  <c r="AH49" i="21"/>
  <c r="AO49" i="21"/>
  <c r="AT49" i="21"/>
  <c r="AY49" i="21"/>
  <c r="P49" i="21"/>
  <c r="Q49" i="21"/>
  <c r="R49" i="21"/>
  <c r="AA48" i="21"/>
  <c r="AH48" i="21"/>
  <c r="AO48" i="21"/>
  <c r="AT48" i="21"/>
  <c r="AY48" i="21"/>
  <c r="P48" i="21"/>
  <c r="Q48" i="21"/>
  <c r="R48" i="21"/>
  <c r="AA47" i="21"/>
  <c r="AH47" i="21"/>
  <c r="AO47" i="21"/>
  <c r="AT47" i="21"/>
  <c r="AY47" i="21"/>
  <c r="P47" i="21"/>
  <c r="Q47" i="21"/>
  <c r="R47" i="21"/>
  <c r="AA46" i="21"/>
  <c r="AH46" i="21"/>
  <c r="AO46" i="21"/>
  <c r="AT46" i="21"/>
  <c r="AY46" i="21"/>
  <c r="P46" i="21"/>
  <c r="Q46" i="21"/>
  <c r="R46" i="21"/>
  <c r="AA45" i="21"/>
  <c r="AH45" i="21"/>
  <c r="AO45" i="21"/>
  <c r="AT45" i="21"/>
  <c r="AY45" i="21"/>
  <c r="P45" i="21"/>
  <c r="Q45" i="21"/>
  <c r="R45" i="21"/>
  <c r="AA44" i="21"/>
  <c r="AH44" i="21"/>
  <c r="AO44" i="21"/>
  <c r="AT44" i="21"/>
  <c r="AY44" i="21"/>
  <c r="P44" i="21"/>
  <c r="Q44" i="21"/>
  <c r="R44" i="21"/>
  <c r="AA43" i="21"/>
  <c r="AH43" i="21"/>
  <c r="AO43" i="21"/>
  <c r="AT43" i="21"/>
  <c r="AY43" i="21"/>
  <c r="P43" i="21"/>
  <c r="Q43" i="21"/>
  <c r="R43" i="21"/>
  <c r="AA42" i="21"/>
  <c r="AH42" i="21"/>
  <c r="AO42" i="21"/>
  <c r="AT42" i="21"/>
  <c r="AY42" i="21"/>
  <c r="P42" i="21"/>
  <c r="Q42" i="21"/>
  <c r="R42" i="21"/>
  <c r="AA41" i="21"/>
  <c r="AH41" i="21"/>
  <c r="AO41" i="21"/>
  <c r="AT41" i="21"/>
  <c r="AY41" i="21"/>
  <c r="P41" i="21"/>
  <c r="Q41" i="21"/>
  <c r="R41" i="21"/>
  <c r="AA40" i="21"/>
  <c r="AH40" i="21"/>
  <c r="AO40" i="21"/>
  <c r="AT40" i="21"/>
  <c r="AY40" i="21"/>
  <c r="P40" i="21"/>
  <c r="Q40" i="21"/>
  <c r="R40" i="21"/>
  <c r="AA39" i="21"/>
  <c r="AH39" i="21"/>
  <c r="AO39" i="21"/>
  <c r="AT39" i="21"/>
  <c r="AY39" i="21"/>
  <c r="P39" i="21"/>
  <c r="Q39" i="21"/>
  <c r="R39" i="21"/>
  <c r="AA38" i="21"/>
  <c r="AH38" i="21"/>
  <c r="AO38" i="21"/>
  <c r="AT38" i="21"/>
  <c r="AY38" i="21"/>
  <c r="P38" i="21"/>
  <c r="Q38" i="21"/>
  <c r="R38" i="21"/>
  <c r="AA37" i="21"/>
  <c r="AH37" i="21"/>
  <c r="AO37" i="21"/>
  <c r="AT37" i="21"/>
  <c r="AY37" i="21"/>
  <c r="P37" i="21"/>
  <c r="Q37" i="21"/>
  <c r="R37" i="21"/>
  <c r="AA36" i="21"/>
  <c r="AH36" i="21"/>
  <c r="AO36" i="21"/>
  <c r="AT36" i="21"/>
  <c r="AY36" i="21"/>
  <c r="P36" i="21"/>
  <c r="Q36" i="21"/>
  <c r="R36" i="21"/>
  <c r="AA35" i="21"/>
  <c r="AH35" i="21"/>
  <c r="AO35" i="21"/>
  <c r="AT35" i="21"/>
  <c r="AY35" i="21"/>
  <c r="P35" i="21"/>
  <c r="Q35" i="21"/>
  <c r="R35" i="21"/>
  <c r="AA34" i="21"/>
  <c r="AH34" i="21"/>
  <c r="AO34" i="21"/>
  <c r="AT34" i="21"/>
  <c r="AY34" i="21"/>
  <c r="P34" i="21"/>
  <c r="Q34" i="21"/>
  <c r="R34" i="21"/>
  <c r="AA33" i="21"/>
  <c r="AH33" i="21"/>
  <c r="AO33" i="21"/>
  <c r="AT33" i="21"/>
  <c r="AY33" i="21"/>
  <c r="P33" i="21"/>
  <c r="Q33" i="21"/>
  <c r="R33" i="21"/>
  <c r="AA32" i="21"/>
  <c r="AH32" i="21"/>
  <c r="AO32" i="21"/>
  <c r="AT32" i="21"/>
  <c r="AY32" i="21"/>
  <c r="P32" i="21"/>
  <c r="Q32" i="21"/>
  <c r="R32" i="21"/>
  <c r="AA31" i="21"/>
  <c r="AH31" i="21"/>
  <c r="AO31" i="21"/>
  <c r="AT31" i="21"/>
  <c r="AY31" i="21"/>
  <c r="P31" i="21"/>
  <c r="Q31" i="21"/>
  <c r="R31" i="21"/>
  <c r="AA30" i="21"/>
  <c r="AH30" i="21"/>
  <c r="AO30" i="21"/>
  <c r="AT30" i="21"/>
  <c r="AY30" i="21"/>
  <c r="P30" i="21"/>
  <c r="Q30" i="21"/>
  <c r="R30" i="21"/>
  <c r="AA29" i="21"/>
  <c r="AH29" i="21"/>
  <c r="AO29" i="21"/>
  <c r="AT29" i="21"/>
  <c r="AY29" i="21"/>
  <c r="P29" i="21"/>
  <c r="Q29" i="21"/>
  <c r="R29" i="21"/>
  <c r="AA27" i="21"/>
  <c r="AH27" i="21"/>
  <c r="AO27" i="21"/>
  <c r="AT27" i="21"/>
  <c r="AY27" i="21"/>
  <c r="P27" i="21"/>
  <c r="Q27" i="21"/>
  <c r="R27" i="21"/>
  <c r="AA26" i="21"/>
  <c r="AH26" i="21"/>
  <c r="AO26" i="21"/>
  <c r="AT26" i="21"/>
  <c r="AY26" i="21"/>
  <c r="P26" i="21"/>
  <c r="Q26" i="21"/>
  <c r="R26" i="21"/>
  <c r="AA25" i="21"/>
  <c r="AH25" i="21"/>
  <c r="AO25" i="21"/>
  <c r="AT25" i="21"/>
  <c r="AY25" i="21"/>
  <c r="P25" i="21"/>
  <c r="Q25" i="21"/>
  <c r="R25" i="21"/>
  <c r="AA24" i="21"/>
  <c r="AH24" i="21"/>
  <c r="AO24" i="21"/>
  <c r="AT24" i="21"/>
  <c r="AY24" i="21"/>
  <c r="P24" i="21"/>
  <c r="Q24" i="21"/>
  <c r="R24" i="21"/>
  <c r="P23" i="21"/>
  <c r="Q23" i="21"/>
  <c r="AA23" i="21"/>
  <c r="AH23" i="21"/>
  <c r="AO23" i="21"/>
  <c r="AT23" i="21"/>
  <c r="AY23" i="21"/>
  <c r="R23" i="21"/>
  <c r="AH22" i="21"/>
  <c r="P22" i="21"/>
  <c r="Q22" i="21"/>
  <c r="AA22" i="21"/>
  <c r="AO22" i="21"/>
  <c r="AT22" i="21"/>
  <c r="AY22" i="21"/>
  <c r="R22" i="21"/>
  <c r="Z103" i="21" l="1"/>
  <c r="AS103" i="21"/>
  <c r="AN103" i="21"/>
  <c r="AX103" i="21"/>
  <c r="AG107" i="21"/>
  <c r="AS107" i="21"/>
  <c r="AN107" i="21"/>
  <c r="AX107" i="21"/>
  <c r="AN89" i="21"/>
  <c r="AS89" i="21"/>
  <c r="AG89" i="21"/>
  <c r="AX119" i="21"/>
  <c r="AX89" i="21"/>
  <c r="AN119" i="21"/>
  <c r="AS119" i="21"/>
  <c r="Z119" i="21"/>
  <c r="AN124" i="21"/>
  <c r="AX124" i="21"/>
  <c r="AS124" i="21"/>
  <c r="AG124" i="21"/>
  <c r="Z124" i="21"/>
  <c r="AS91" i="21"/>
  <c r="Z91" i="21"/>
  <c r="AG91" i="21"/>
  <c r="AX91" i="21"/>
  <c r="AN91" i="21"/>
  <c r="AX141" i="21"/>
  <c r="AS141" i="21"/>
  <c r="AN141" i="21"/>
  <c r="AG141" i="21"/>
  <c r="Z141" i="21"/>
  <c r="AX149" i="21"/>
  <c r="AG149" i="21"/>
  <c r="AN149" i="21"/>
  <c r="Z149" i="21"/>
  <c r="AS149" i="21"/>
  <c r="AN87" i="21"/>
  <c r="AG87" i="21"/>
  <c r="AX87" i="21"/>
  <c r="AS87" i="21"/>
  <c r="Z87" i="21"/>
  <c r="Z156" i="21"/>
  <c r="AX156" i="21"/>
  <c r="AN156" i="21"/>
  <c r="AG156" i="21"/>
  <c r="AS156" i="21"/>
  <c r="AS88" i="21"/>
  <c r="AG88" i="21"/>
  <c r="Z88" i="21"/>
  <c r="AX88" i="21"/>
  <c r="AN88" i="21"/>
  <c r="AN131" i="21"/>
  <c r="AG131" i="21"/>
  <c r="Z131" i="21"/>
  <c r="AS131" i="21"/>
  <c r="AX131" i="21"/>
  <c r="AX155" i="21"/>
  <c r="AS155" i="21"/>
  <c r="AN155" i="21"/>
  <c r="AG155" i="21"/>
  <c r="Z155" i="21"/>
  <c r="Z15" i="21"/>
  <c r="Y15" i="21" s="1"/>
  <c r="AG15" i="21"/>
  <c r="AN15" i="21"/>
  <c r="AS15" i="21"/>
  <c r="AX15" i="21"/>
  <c r="Z9" i="21"/>
  <c r="Y9" i="21" s="1"/>
  <c r="AG9" i="21"/>
  <c r="AN9" i="21"/>
  <c r="AS9" i="21"/>
  <c r="AX9" i="21"/>
  <c r="Z14" i="21"/>
  <c r="Y14" i="21" s="1"/>
  <c r="AG14" i="21"/>
  <c r="AN14" i="21"/>
  <c r="AS14" i="21"/>
  <c r="AX14" i="21"/>
  <c r="AS90" i="21"/>
  <c r="AG90" i="21"/>
  <c r="Z90" i="21"/>
  <c r="AN90" i="21"/>
  <c r="AX90" i="21"/>
  <c r="AX92" i="21"/>
  <c r="AS92" i="21"/>
  <c r="AN92" i="21"/>
  <c r="AG92" i="21"/>
  <c r="Z92" i="21"/>
  <c r="Z76" i="21"/>
  <c r="AN76" i="21"/>
  <c r="AG76" i="21"/>
  <c r="AX76" i="21"/>
  <c r="AS76" i="21"/>
  <c r="AG55" i="21"/>
  <c r="AN55" i="21"/>
  <c r="Z55" i="21"/>
  <c r="AS55" i="21"/>
  <c r="AX55" i="21"/>
  <c r="AX142" i="21"/>
  <c r="Z142" i="21"/>
  <c r="AG142" i="21"/>
  <c r="AN142" i="21"/>
  <c r="AS142" i="21"/>
  <c r="Z143" i="21"/>
  <c r="AG143" i="21"/>
  <c r="AS143" i="21"/>
  <c r="AX143" i="21"/>
  <c r="AN143" i="21"/>
  <c r="Z144" i="21"/>
  <c r="AN144" i="21"/>
  <c r="AS144" i="21"/>
  <c r="AG144" i="21"/>
  <c r="AX144" i="21"/>
  <c r="AN145" i="21"/>
  <c r="AX145" i="21"/>
  <c r="AS145" i="21"/>
  <c r="Z145" i="21"/>
  <c r="AG145" i="21"/>
  <c r="AS146" i="21"/>
  <c r="Z146" i="21"/>
  <c r="AX146" i="21"/>
  <c r="AG146" i="21"/>
  <c r="AN146" i="21"/>
  <c r="AN147" i="21"/>
  <c r="AS147" i="21"/>
  <c r="AG147" i="21"/>
  <c r="Z147" i="21"/>
  <c r="AX147" i="21"/>
  <c r="AS148" i="21"/>
  <c r="Z148" i="21"/>
  <c r="AX148" i="21"/>
  <c r="AN148" i="21"/>
  <c r="AG148" i="21"/>
  <c r="AN83" i="21"/>
  <c r="Z83" i="21"/>
  <c r="AS83" i="21"/>
  <c r="AX83" i="21"/>
  <c r="AG83" i="21"/>
  <c r="AX84" i="21"/>
  <c r="AS84" i="21"/>
  <c r="Z84" i="21"/>
  <c r="AG84" i="21"/>
  <c r="AN84" i="21"/>
  <c r="Z85" i="21"/>
  <c r="AG85" i="21"/>
  <c r="AX85" i="21"/>
  <c r="AS85" i="21"/>
  <c r="AN85" i="21"/>
  <c r="AS86" i="21"/>
  <c r="AX86" i="21"/>
  <c r="AN86" i="21"/>
  <c r="AG86" i="21"/>
  <c r="Z86" i="21"/>
  <c r="Z10" i="21"/>
  <c r="Y10" i="21" s="1"/>
  <c r="AG10" i="21"/>
  <c r="AN10" i="21"/>
  <c r="AS10" i="21"/>
  <c r="AX10" i="21"/>
  <c r="AN17" i="21"/>
  <c r="AS17" i="21"/>
  <c r="AX17" i="21"/>
  <c r="AG17" i="21"/>
  <c r="Z17" i="21"/>
  <c r="Y17" i="21" s="1"/>
  <c r="Z5" i="21"/>
  <c r="Y5" i="21" s="1"/>
  <c r="AG5" i="21"/>
  <c r="AN5" i="21"/>
  <c r="AS5" i="21"/>
  <c r="AX5" i="21"/>
  <c r="Z7" i="21"/>
  <c r="Y7" i="21" s="1"/>
  <c r="AX7" i="21"/>
  <c r="AS7" i="21"/>
  <c r="AN7" i="21"/>
  <c r="AG7" i="21"/>
  <c r="AX8" i="21"/>
  <c r="AS8" i="21"/>
  <c r="AN8" i="21"/>
  <c r="AG8" i="21"/>
  <c r="Z8" i="21"/>
  <c r="Y8" i="21" s="1"/>
  <c r="Z11" i="21"/>
  <c r="Y11" i="21" s="1"/>
  <c r="AN11" i="21"/>
  <c r="AG11" i="21"/>
  <c r="AX11" i="21"/>
  <c r="AS11" i="21"/>
  <c r="Z21" i="21"/>
  <c r="Y21" i="21" s="1"/>
  <c r="AG21" i="21"/>
  <c r="AN21" i="21"/>
  <c r="AS21" i="21"/>
  <c r="AX21" i="21"/>
  <c r="AX13" i="21"/>
  <c r="Z13" i="21"/>
  <c r="Y13" i="21" s="1"/>
  <c r="AG13" i="21"/>
  <c r="AN13" i="21"/>
  <c r="AS13" i="21"/>
  <c r="AX12" i="21"/>
  <c r="AS12" i="21"/>
  <c r="AN12" i="21"/>
  <c r="AG12" i="21"/>
  <c r="Z12" i="21"/>
  <c r="Y12" i="21" s="1"/>
  <c r="Z20" i="21"/>
  <c r="Y20" i="21" s="1"/>
  <c r="AS20" i="21"/>
  <c r="AN20" i="21"/>
  <c r="AG20" i="21"/>
  <c r="AX20" i="21"/>
  <c r="AS19" i="21"/>
  <c r="AN19" i="21"/>
  <c r="AX19" i="21"/>
  <c r="AG19" i="21"/>
  <c r="Z19" i="21"/>
  <c r="Y19" i="21" s="1"/>
  <c r="Z18" i="21"/>
  <c r="Y18" i="21" s="1"/>
  <c r="AX18" i="21"/>
  <c r="AS18" i="21"/>
  <c r="AN18" i="21"/>
  <c r="AG18" i="21"/>
  <c r="AX16" i="21"/>
  <c r="AS16" i="21"/>
  <c r="AN16" i="21"/>
  <c r="AG16" i="21"/>
  <c r="Z16" i="21"/>
  <c r="Y16" i="21" s="1"/>
  <c r="AG130" i="21"/>
  <c r="AS130" i="21"/>
  <c r="AX130" i="21"/>
  <c r="AN130" i="21"/>
  <c r="Z130" i="21"/>
  <c r="Z28" i="21"/>
  <c r="Y28" i="21" s="1"/>
  <c r="AG28" i="21"/>
  <c r="AN28" i="21"/>
  <c r="AS28" i="21"/>
  <c r="AX28" i="21"/>
  <c r="Z160" i="21"/>
  <c r="AG160" i="21"/>
  <c r="AN160" i="21"/>
  <c r="AS160" i="21"/>
  <c r="AX160" i="21"/>
  <c r="Z159" i="21"/>
  <c r="AG159" i="21"/>
  <c r="AN159" i="21"/>
  <c r="AS159" i="21"/>
  <c r="AX159" i="21"/>
  <c r="Z158" i="21"/>
  <c r="AG158" i="21"/>
  <c r="AN158" i="21"/>
  <c r="AS158" i="21"/>
  <c r="AX158" i="21"/>
  <c r="Z153" i="21"/>
  <c r="AG153" i="21"/>
  <c r="AN153" i="21"/>
  <c r="AS153" i="21"/>
  <c r="AX153" i="21"/>
  <c r="Z152" i="21"/>
  <c r="AG152" i="21"/>
  <c r="AN152" i="21"/>
  <c r="AS152" i="21"/>
  <c r="AX152" i="21"/>
  <c r="Z151" i="21"/>
  <c r="AG151" i="21"/>
  <c r="AN151" i="21"/>
  <c r="AS151" i="21"/>
  <c r="AX151" i="21"/>
  <c r="Z150" i="21"/>
  <c r="AG150" i="21"/>
  <c r="AN150" i="21"/>
  <c r="AS150" i="21"/>
  <c r="AX150" i="21"/>
  <c r="Z140" i="21"/>
  <c r="AG140" i="21"/>
  <c r="AN140" i="21"/>
  <c r="AS140" i="21"/>
  <c r="AX140" i="21"/>
  <c r="Z139" i="21"/>
  <c r="AG139" i="21"/>
  <c r="AN139" i="21"/>
  <c r="AS139" i="21"/>
  <c r="AX139" i="21"/>
  <c r="Z138" i="21"/>
  <c r="AG138" i="21"/>
  <c r="AN138" i="21"/>
  <c r="AS138" i="21"/>
  <c r="AX138" i="21"/>
  <c r="Z137" i="21"/>
  <c r="AG137" i="21"/>
  <c r="AN137" i="21"/>
  <c r="AS137" i="21"/>
  <c r="AX137" i="21"/>
  <c r="Z136" i="21"/>
  <c r="AG136" i="21"/>
  <c r="AN136" i="21"/>
  <c r="AS136" i="21"/>
  <c r="AX136" i="21"/>
  <c r="Z135" i="21"/>
  <c r="AG135" i="21"/>
  <c r="AN135" i="21"/>
  <c r="AS135" i="21"/>
  <c r="AX135" i="21"/>
  <c r="Z134" i="21"/>
  <c r="AG134" i="21"/>
  <c r="AN134" i="21"/>
  <c r="AS134" i="21"/>
  <c r="AX134" i="21"/>
  <c r="Z133" i="21"/>
  <c r="AG133" i="21"/>
  <c r="AN133" i="21"/>
  <c r="AS133" i="21"/>
  <c r="AX133" i="21"/>
  <c r="Z129" i="21"/>
  <c r="AX129" i="21"/>
  <c r="AG129" i="21"/>
  <c r="AN129" i="21"/>
  <c r="AS129" i="21"/>
  <c r="Z128" i="21"/>
  <c r="AG128" i="21"/>
  <c r="AN128" i="21"/>
  <c r="AS128" i="21"/>
  <c r="AX128" i="21"/>
  <c r="Z127" i="21"/>
  <c r="AN127" i="21"/>
  <c r="AX127" i="21"/>
  <c r="AG127" i="21"/>
  <c r="AS127" i="21"/>
  <c r="Z126" i="21"/>
  <c r="AG126" i="21"/>
  <c r="AN126" i="21"/>
  <c r="AS126" i="21"/>
  <c r="AX126" i="21"/>
  <c r="Z125" i="21"/>
  <c r="AX125" i="21"/>
  <c r="AG125" i="21"/>
  <c r="AN125" i="21"/>
  <c r="AS125" i="21"/>
  <c r="AN123" i="21"/>
  <c r="AS123" i="21"/>
  <c r="AX123" i="21"/>
  <c r="Z123" i="21"/>
  <c r="AG123" i="21"/>
  <c r="Z122" i="21"/>
  <c r="AS122" i="21"/>
  <c r="AX122" i="21"/>
  <c r="AG122" i="21"/>
  <c r="AN122" i="21"/>
  <c r="Z121" i="21"/>
  <c r="AG121" i="21"/>
  <c r="AN121" i="21"/>
  <c r="AS121" i="21"/>
  <c r="AX121" i="21"/>
  <c r="AG120" i="21"/>
  <c r="AS120" i="21"/>
  <c r="AX120" i="21"/>
  <c r="Z120" i="21"/>
  <c r="AN120" i="21"/>
  <c r="AX118" i="21"/>
  <c r="AN118" i="21"/>
  <c r="AS118" i="21"/>
  <c r="Z118" i="21"/>
  <c r="AG118" i="21"/>
  <c r="AS117" i="21"/>
  <c r="Z117" i="21"/>
  <c r="AG117" i="21"/>
  <c r="AN117" i="21"/>
  <c r="AX117" i="21"/>
  <c r="Z116" i="21"/>
  <c r="AG116" i="21"/>
  <c r="AS116" i="21"/>
  <c r="AN116" i="21"/>
  <c r="AX116" i="21"/>
  <c r="AX115" i="21"/>
  <c r="Z115" i="21"/>
  <c r="AG115" i="21"/>
  <c r="AN115" i="21"/>
  <c r="AS115" i="21"/>
  <c r="Z114" i="21"/>
  <c r="AS114" i="21"/>
  <c r="AG114" i="21"/>
  <c r="AX114" i="21"/>
  <c r="AN114" i="21"/>
  <c r="Z113" i="21"/>
  <c r="AX113" i="21"/>
  <c r="AS113" i="21"/>
  <c r="AG113" i="21"/>
  <c r="AN113" i="21"/>
  <c r="Z112" i="21"/>
  <c r="AX112" i="21"/>
  <c r="AG112" i="21"/>
  <c r="AN112" i="21"/>
  <c r="AS112" i="21"/>
  <c r="AN111" i="21"/>
  <c r="AS111" i="21"/>
  <c r="AG111" i="21"/>
  <c r="AX111" i="21"/>
  <c r="Z111" i="21"/>
  <c r="Z110" i="21"/>
  <c r="AG110" i="21"/>
  <c r="AS110" i="21"/>
  <c r="AN110" i="21"/>
  <c r="AX110" i="21"/>
  <c r="AS109" i="21"/>
  <c r="AG109" i="21"/>
  <c r="AN109" i="21"/>
  <c r="AX109" i="21"/>
  <c r="Z109" i="21"/>
  <c r="AG108" i="21"/>
  <c r="AN108" i="21"/>
  <c r="AX108" i="21"/>
  <c r="Z108" i="21"/>
  <c r="AS108" i="21"/>
  <c r="AG106" i="21"/>
  <c r="AX106" i="21"/>
  <c r="AN106" i="21"/>
  <c r="AS106" i="21"/>
  <c r="Z106" i="21"/>
  <c r="Z105" i="21"/>
  <c r="AG105" i="21"/>
  <c r="AN105" i="21"/>
  <c r="AS105" i="21"/>
  <c r="AX105" i="21"/>
  <c r="Z104" i="21"/>
  <c r="AG104" i="21"/>
  <c r="AN104" i="21"/>
  <c r="AS104" i="21"/>
  <c r="AX104" i="21"/>
  <c r="Z102" i="21"/>
  <c r="AG102" i="21"/>
  <c r="AN102" i="21"/>
  <c r="AS102" i="21"/>
  <c r="AX102" i="21"/>
  <c r="Z101" i="21"/>
  <c r="AG101" i="21"/>
  <c r="AN101" i="21"/>
  <c r="AS101" i="21"/>
  <c r="AX101" i="21"/>
  <c r="Z100" i="21"/>
  <c r="AG100" i="21"/>
  <c r="AN100" i="21"/>
  <c r="AS100" i="21"/>
  <c r="AX100" i="21"/>
  <c r="Z99" i="21"/>
  <c r="AG99" i="21"/>
  <c r="AN99" i="21"/>
  <c r="AS99" i="21"/>
  <c r="AX99" i="21"/>
  <c r="Z98" i="21"/>
  <c r="AG98" i="21"/>
  <c r="AN98" i="21"/>
  <c r="AS98" i="21"/>
  <c r="AX98" i="21"/>
  <c r="Z97" i="21"/>
  <c r="AG97" i="21"/>
  <c r="AN97" i="21"/>
  <c r="AS97" i="21"/>
  <c r="AX97" i="21"/>
  <c r="Z96" i="21"/>
  <c r="AG96" i="21"/>
  <c r="AN96" i="21"/>
  <c r="AS96" i="21"/>
  <c r="AX96" i="21"/>
  <c r="Z95" i="21"/>
  <c r="AG95" i="21"/>
  <c r="AN95" i="21"/>
  <c r="AS95" i="21"/>
  <c r="AX95" i="21"/>
  <c r="Z94" i="21"/>
  <c r="AG94" i="21"/>
  <c r="AN94" i="21"/>
  <c r="AS94" i="21"/>
  <c r="AX94" i="21"/>
  <c r="Z93" i="21"/>
  <c r="AG93" i="21"/>
  <c r="AN93" i="21"/>
  <c r="AS93" i="21"/>
  <c r="AX93" i="21"/>
  <c r="Z82" i="21"/>
  <c r="AG82" i="21"/>
  <c r="AN82" i="21"/>
  <c r="AS82" i="21"/>
  <c r="AX82" i="21"/>
  <c r="Z81" i="21"/>
  <c r="AG81" i="21"/>
  <c r="AN81" i="21"/>
  <c r="AS81" i="21"/>
  <c r="AX81" i="21"/>
  <c r="Z80" i="21"/>
  <c r="AG80" i="21"/>
  <c r="AN80" i="21"/>
  <c r="AS80" i="21"/>
  <c r="AX80" i="21"/>
  <c r="Z79" i="21"/>
  <c r="AG79" i="21"/>
  <c r="AN79" i="21"/>
  <c r="AS79" i="21"/>
  <c r="AX79" i="21"/>
  <c r="Z78" i="21"/>
  <c r="AG78" i="21"/>
  <c r="AN78" i="21"/>
  <c r="AS78" i="21"/>
  <c r="AX78" i="21"/>
  <c r="Z77" i="21"/>
  <c r="AG77" i="21"/>
  <c r="AN77" i="21"/>
  <c r="AS77" i="21"/>
  <c r="AX77" i="21"/>
  <c r="Z75" i="21"/>
  <c r="AG75" i="21"/>
  <c r="AN75" i="21"/>
  <c r="AS75" i="21"/>
  <c r="AX75" i="21"/>
  <c r="Z74" i="21"/>
  <c r="AG74" i="21"/>
  <c r="AN74" i="21"/>
  <c r="AS74" i="21"/>
  <c r="AX74" i="21"/>
  <c r="Z73" i="21"/>
  <c r="AG73" i="21"/>
  <c r="AN73" i="21"/>
  <c r="AS73" i="21"/>
  <c r="AX73" i="21"/>
  <c r="Z72" i="21"/>
  <c r="AG72" i="21"/>
  <c r="AN72" i="21"/>
  <c r="AS72" i="21"/>
  <c r="AX72" i="21"/>
  <c r="Z71" i="21"/>
  <c r="AG71" i="21"/>
  <c r="AN71" i="21"/>
  <c r="AS71" i="21"/>
  <c r="AX71" i="21"/>
  <c r="Z70" i="21"/>
  <c r="AG70" i="21"/>
  <c r="AN70" i="21"/>
  <c r="AS70" i="21"/>
  <c r="AX70" i="21"/>
  <c r="Z69" i="21"/>
  <c r="AG69" i="21"/>
  <c r="AN69" i="21"/>
  <c r="AS69" i="21"/>
  <c r="AX69" i="21"/>
  <c r="Z68" i="21"/>
  <c r="AG68" i="21"/>
  <c r="AN68" i="21"/>
  <c r="AS68" i="21"/>
  <c r="AX68" i="21"/>
  <c r="Z67" i="21"/>
  <c r="AG67" i="21"/>
  <c r="AN67" i="21"/>
  <c r="AS67" i="21"/>
  <c r="AX67" i="21"/>
  <c r="Z66" i="21"/>
  <c r="AG66" i="21"/>
  <c r="AN66" i="21"/>
  <c r="AS66" i="21"/>
  <c r="AX66" i="21"/>
  <c r="Z65" i="21"/>
  <c r="AG65" i="21"/>
  <c r="AN65" i="21"/>
  <c r="AS65" i="21"/>
  <c r="AX65" i="21"/>
  <c r="Z64" i="21"/>
  <c r="AG64" i="21"/>
  <c r="AN64" i="21"/>
  <c r="AS64" i="21"/>
  <c r="AX64" i="21"/>
  <c r="Z63" i="21"/>
  <c r="AG63" i="21"/>
  <c r="AN63" i="21"/>
  <c r="AS63" i="21"/>
  <c r="AX63" i="21"/>
  <c r="Z62" i="21"/>
  <c r="AG62" i="21"/>
  <c r="AN62" i="21"/>
  <c r="AS62" i="21"/>
  <c r="AX62" i="21"/>
  <c r="Z61" i="21"/>
  <c r="AG61" i="21"/>
  <c r="AN61" i="21"/>
  <c r="AS61" i="21"/>
  <c r="AX61" i="21"/>
  <c r="Z60" i="21"/>
  <c r="AG60" i="21"/>
  <c r="AN60" i="21"/>
  <c r="AS60" i="21"/>
  <c r="AX60" i="21"/>
  <c r="Z59" i="21"/>
  <c r="AG59" i="21"/>
  <c r="AN59" i="21"/>
  <c r="AS59" i="21"/>
  <c r="AX59" i="21"/>
  <c r="Z58" i="21"/>
  <c r="AG58" i="21"/>
  <c r="AN58" i="21"/>
  <c r="AS58" i="21"/>
  <c r="AX58" i="21"/>
  <c r="Z57" i="21"/>
  <c r="AG57" i="21"/>
  <c r="AN57" i="21"/>
  <c r="AS57" i="21"/>
  <c r="AX57" i="21"/>
  <c r="Z56" i="21"/>
  <c r="AG56" i="21"/>
  <c r="AN56" i="21"/>
  <c r="AS56" i="21"/>
  <c r="AX56" i="21"/>
  <c r="Z54" i="21"/>
  <c r="AG54" i="21"/>
  <c r="AN54" i="21"/>
  <c r="AS54" i="21"/>
  <c r="AX54" i="21"/>
  <c r="Z53" i="21"/>
  <c r="AG53" i="21"/>
  <c r="AN53" i="21"/>
  <c r="AS53" i="21"/>
  <c r="AX53" i="21"/>
  <c r="Z52" i="21"/>
  <c r="AG52" i="21"/>
  <c r="AN52" i="21"/>
  <c r="AS52" i="21"/>
  <c r="AX52" i="21"/>
  <c r="Z51" i="21"/>
  <c r="AG51" i="21"/>
  <c r="AN51" i="21"/>
  <c r="AS51" i="21"/>
  <c r="AX51" i="21"/>
  <c r="Z50" i="21"/>
  <c r="AG50" i="21"/>
  <c r="AN50" i="21"/>
  <c r="AS50" i="21"/>
  <c r="AX50" i="21"/>
  <c r="Z49" i="21"/>
  <c r="AG49" i="21"/>
  <c r="AN49" i="21"/>
  <c r="AS49" i="21"/>
  <c r="AX49" i="21"/>
  <c r="Z48" i="21"/>
  <c r="AG48" i="21"/>
  <c r="AN48" i="21"/>
  <c r="AS48" i="21"/>
  <c r="AX48" i="21"/>
  <c r="Z47" i="21"/>
  <c r="AG47" i="21"/>
  <c r="AN47" i="21"/>
  <c r="AS47" i="21"/>
  <c r="AX47" i="21"/>
  <c r="Z46" i="21"/>
  <c r="AG46" i="21"/>
  <c r="AN46" i="21"/>
  <c r="AS46" i="21"/>
  <c r="AX46" i="21"/>
  <c r="Z45" i="21"/>
  <c r="AG45" i="21"/>
  <c r="AN45" i="21"/>
  <c r="AS45" i="21"/>
  <c r="AX45" i="21"/>
  <c r="Z44" i="21"/>
  <c r="AG44" i="21"/>
  <c r="AN44" i="21"/>
  <c r="AS44" i="21"/>
  <c r="AX44" i="21"/>
  <c r="Z43" i="21"/>
  <c r="AG43" i="21"/>
  <c r="AN43" i="21"/>
  <c r="AS43" i="21"/>
  <c r="AX43" i="21"/>
  <c r="Z42" i="21"/>
  <c r="AG42" i="21"/>
  <c r="AN42" i="21"/>
  <c r="AS42" i="21"/>
  <c r="AX42" i="21"/>
  <c r="Z41" i="21"/>
  <c r="AG41" i="21"/>
  <c r="AN41" i="21"/>
  <c r="AS41" i="21"/>
  <c r="AX41" i="21"/>
  <c r="Z40" i="21"/>
  <c r="AG40" i="21"/>
  <c r="AN40" i="21"/>
  <c r="AS40" i="21"/>
  <c r="AX40" i="21"/>
  <c r="Z39" i="21"/>
  <c r="AG39" i="21"/>
  <c r="AN39" i="21"/>
  <c r="AS39" i="21"/>
  <c r="AX39" i="21"/>
  <c r="Z38" i="21"/>
  <c r="AG38" i="21"/>
  <c r="AN38" i="21"/>
  <c r="AS38" i="21"/>
  <c r="AX38" i="21"/>
  <c r="Z37" i="21"/>
  <c r="AG37" i="21"/>
  <c r="AN37" i="21"/>
  <c r="AS37" i="21"/>
  <c r="AX37" i="21"/>
  <c r="Z36" i="21"/>
  <c r="AG36" i="21"/>
  <c r="AN36" i="21"/>
  <c r="AS36" i="21"/>
  <c r="AX36" i="21"/>
  <c r="Z35" i="21"/>
  <c r="Y35" i="21" s="1"/>
  <c r="AG35" i="21"/>
  <c r="AN35" i="21"/>
  <c r="AS35" i="21"/>
  <c r="AX35" i="21"/>
  <c r="Z34" i="21"/>
  <c r="Y34" i="21" s="1"/>
  <c r="AG34" i="21"/>
  <c r="AN34" i="21"/>
  <c r="AS34" i="21"/>
  <c r="AX34" i="21"/>
  <c r="Z33" i="21"/>
  <c r="Y33" i="21" s="1"/>
  <c r="AG33" i="21"/>
  <c r="AN33" i="21"/>
  <c r="AS33" i="21"/>
  <c r="AX33" i="21"/>
  <c r="Z32" i="21"/>
  <c r="Y32" i="21" s="1"/>
  <c r="AG32" i="21"/>
  <c r="AN32" i="21"/>
  <c r="AS32" i="21"/>
  <c r="AX32" i="21"/>
  <c r="Z31" i="21"/>
  <c r="Y31" i="21" s="1"/>
  <c r="AG31" i="21"/>
  <c r="AN31" i="21"/>
  <c r="AS31" i="21"/>
  <c r="AX31" i="21"/>
  <c r="Z30" i="21"/>
  <c r="Y30" i="21" s="1"/>
  <c r="AG30" i="21"/>
  <c r="AN30" i="21"/>
  <c r="AS30" i="21"/>
  <c r="AX30" i="21"/>
  <c r="Z29" i="21"/>
  <c r="Y29" i="21" s="1"/>
  <c r="AG29" i="21"/>
  <c r="AN29" i="21"/>
  <c r="AS29" i="21"/>
  <c r="AX29" i="21"/>
  <c r="Z27" i="21"/>
  <c r="Y27" i="21" s="1"/>
  <c r="AG27" i="21"/>
  <c r="AN27" i="21"/>
  <c r="AS27" i="21"/>
  <c r="AX27" i="21"/>
  <c r="Z26" i="21"/>
  <c r="Y26" i="21" s="1"/>
  <c r="AG26" i="21"/>
  <c r="AN26" i="21"/>
  <c r="AS26" i="21"/>
  <c r="AX26" i="21"/>
  <c r="Z25" i="21"/>
  <c r="Y25" i="21" s="1"/>
  <c r="AG25" i="21"/>
  <c r="AN25" i="21"/>
  <c r="AS25" i="21"/>
  <c r="AX25" i="21"/>
  <c r="Z24" i="21"/>
  <c r="Y24" i="21" s="1"/>
  <c r="AG24" i="21"/>
  <c r="AN24" i="21"/>
  <c r="AS24" i="21"/>
  <c r="AX24" i="21"/>
  <c r="Z23" i="21"/>
  <c r="Y23" i="21" s="1"/>
  <c r="AG23" i="21"/>
  <c r="AN23" i="21"/>
  <c r="AS23" i="21"/>
  <c r="AX23" i="21"/>
  <c r="AG22" i="21"/>
  <c r="AN22" i="21"/>
  <c r="AS22" i="21"/>
  <c r="AX22" i="21"/>
  <c r="Z22" i="21"/>
  <c r="Y22" i="21" s="1"/>
</calcChain>
</file>

<file path=xl/sharedStrings.xml><?xml version="1.0" encoding="utf-8"?>
<sst xmlns="http://schemas.openxmlformats.org/spreadsheetml/2006/main" count="1316" uniqueCount="247">
  <si>
    <t>GOLD</t>
  </si>
  <si>
    <t>SILVER</t>
  </si>
  <si>
    <t xml:space="preserve">silver </t>
  </si>
  <si>
    <t>TOTAL</t>
  </si>
  <si>
    <t xml:space="preserve">4mm </t>
  </si>
  <si>
    <t xml:space="preserve">20cm </t>
  </si>
  <si>
    <t xml:space="preserve">no polish </t>
  </si>
  <si>
    <t xml:space="preserve">polish </t>
  </si>
  <si>
    <t xml:space="preserve">6mm </t>
  </si>
  <si>
    <t xml:space="preserve">8mm </t>
  </si>
  <si>
    <t xml:space="preserve">65cm </t>
  </si>
  <si>
    <t xml:space="preserve">3mm </t>
  </si>
  <si>
    <t xml:space="preserve">45cm </t>
  </si>
  <si>
    <t xml:space="preserve"> polish </t>
  </si>
  <si>
    <t xml:space="preserve">9mm </t>
  </si>
  <si>
    <t>6mm</t>
  </si>
  <si>
    <t>8mm</t>
  </si>
  <si>
    <t xml:space="preserve">7mm </t>
  </si>
  <si>
    <t xml:space="preserve">5mm </t>
  </si>
  <si>
    <t xml:space="preserve">2mm </t>
  </si>
  <si>
    <t xml:space="preserve">18cm </t>
  </si>
  <si>
    <t xml:space="preserve">2.5mm </t>
  </si>
  <si>
    <t xml:space="preserve">4.5mm </t>
  </si>
  <si>
    <t xml:space="preserve">3.5mm </t>
  </si>
  <si>
    <t xml:space="preserve">60cm </t>
  </si>
  <si>
    <t>SKU</t>
  </si>
  <si>
    <t>NOMBRE PRODUCTO</t>
  </si>
  <si>
    <t xml:space="preserve">ANCHO </t>
  </si>
  <si>
    <t>LARGO</t>
  </si>
  <si>
    <t>VENECIANA</t>
  </si>
  <si>
    <t>CANTIDAD</t>
  </si>
  <si>
    <t>RUSTICA</t>
  </si>
  <si>
    <t>ENGRANAJE</t>
  </si>
  <si>
    <t>TENIS</t>
  </si>
  <si>
    <t>GUCCI</t>
  </si>
  <si>
    <t>CRUZADA</t>
  </si>
  <si>
    <t>2.5mm</t>
  </si>
  <si>
    <t>DOLD</t>
  </si>
  <si>
    <t>GOLD REAL</t>
  </si>
  <si>
    <t>X CUANTO</t>
  </si>
  <si>
    <t>DISTRIBUIDOR</t>
  </si>
  <si>
    <t>EMPRESARIO</t>
  </si>
  <si>
    <t>MAYORISTA</t>
  </si>
  <si>
    <t>PESOS</t>
  </si>
  <si>
    <t>X7</t>
  </si>
  <si>
    <t>X9</t>
  </si>
  <si>
    <t>CHILE</t>
  </si>
  <si>
    <t>RD</t>
  </si>
  <si>
    <t>GUATEMALA</t>
  </si>
  <si>
    <t>ECUADOR</t>
  </si>
  <si>
    <t>JAIME</t>
  </si>
  <si>
    <t>X20</t>
  </si>
  <si>
    <t>X17</t>
  </si>
  <si>
    <t>X19</t>
  </si>
  <si>
    <t>JULIAN</t>
  </si>
  <si>
    <t>COLOMBIA</t>
  </si>
  <si>
    <t>DETAL</t>
  </si>
  <si>
    <t>COSTA RICA</t>
  </si>
  <si>
    <t>PERU</t>
  </si>
  <si>
    <t>PARAGUAY</t>
  </si>
  <si>
    <t>5mm,</t>
  </si>
  <si>
    <t>45cn</t>
  </si>
  <si>
    <t>COSTO</t>
  </si>
  <si>
    <t xml:space="preserve">C. GRABADA 4mm  65cm </t>
  </si>
  <si>
    <t xml:space="preserve">C. GRABADA 6mm  65cm </t>
  </si>
  <si>
    <t xml:space="preserve">C. GRABADA 8mm  65cm </t>
  </si>
  <si>
    <t xml:space="preserve">C. SERPIENTE 4mm  65cm </t>
  </si>
  <si>
    <t xml:space="preserve">C. SERPIENTE 6mm  65cm </t>
  </si>
  <si>
    <t xml:space="preserve">C. SERPIENTE 8mm  65cm </t>
  </si>
  <si>
    <t xml:space="preserve">C. CUBANA 3mm  45cm </t>
  </si>
  <si>
    <t xml:space="preserve">C. CUBANA 4mm  65cm </t>
  </si>
  <si>
    <t xml:space="preserve">C. CUBANA 6mm  65cm </t>
  </si>
  <si>
    <t xml:space="preserve">C. CUBANA 9mm  65cm </t>
  </si>
  <si>
    <t xml:space="preserve">C. CARTIER 3mm  45cm </t>
  </si>
  <si>
    <t xml:space="preserve">C. CARTIER 3mm  65cm </t>
  </si>
  <si>
    <t xml:space="preserve">C. CARTIER 4mm  65cm </t>
  </si>
  <si>
    <t xml:space="preserve">C. CARTIER 6mm  65cm </t>
  </si>
  <si>
    <t xml:space="preserve">C. CARTIER 7mm  65cm </t>
  </si>
  <si>
    <t xml:space="preserve">C. CARTIER 9mm  65cm </t>
  </si>
  <si>
    <t xml:space="preserve">C. RUSTICA 4mm  65cm </t>
  </si>
  <si>
    <t xml:space="preserve">C. RUSTICA 6mm  65cm </t>
  </si>
  <si>
    <t xml:space="preserve">C. CHINESCA 3mm  45cm </t>
  </si>
  <si>
    <t xml:space="preserve">C. CHINESCA 6mm 65cm </t>
  </si>
  <si>
    <t xml:space="preserve">C. CHINESCA 8mm 65cm </t>
  </si>
  <si>
    <t xml:space="preserve">P. GRABADA   4mm  20cm </t>
  </si>
  <si>
    <t xml:space="preserve">P. GRABADA  6mm  20cm </t>
  </si>
  <si>
    <t xml:space="preserve">P. GRABADA  8mm  20cm </t>
  </si>
  <si>
    <t xml:space="preserve">P. SERPIENTE 4mm  20cm </t>
  </si>
  <si>
    <t xml:space="preserve">P. SERPIENTE 6mm  20cm </t>
  </si>
  <si>
    <t xml:space="preserve">P. SERPIENTE 8mm  20cm </t>
  </si>
  <si>
    <t xml:space="preserve">P. CUBANA 4mm  20cm </t>
  </si>
  <si>
    <t xml:space="preserve">P. CUBANA 6mm  20cm </t>
  </si>
  <si>
    <t xml:space="preserve">P. CUBANA 9mm  20cm </t>
  </si>
  <si>
    <t xml:space="preserve">P. CARTIER 4mm  20cm </t>
  </si>
  <si>
    <t xml:space="preserve">P. CARTIER 6mm  20cm </t>
  </si>
  <si>
    <t xml:space="preserve">P. CARTIER 9mm  20cm </t>
  </si>
  <si>
    <t xml:space="preserve">P. RUSTICA 4mm  20cm </t>
  </si>
  <si>
    <t xml:space="preserve">P. RUSTICA 6mm  20cm </t>
  </si>
  <si>
    <t xml:space="preserve">P. CHINESCA 6mm 20cm </t>
  </si>
  <si>
    <t xml:space="preserve">P. CHINESCA 8mm 20cm </t>
  </si>
  <si>
    <t>jaime 2.5\</t>
  </si>
  <si>
    <t>REAL</t>
  </si>
  <si>
    <t>REAL ECUA</t>
  </si>
  <si>
    <t xml:space="preserve">P. VENECIANA 3mm  20cm </t>
  </si>
  <si>
    <t xml:space="preserve">P. VENECIANA 2mm  18cm </t>
  </si>
  <si>
    <t xml:space="preserve">P. VENECIANA 4mm  20cm </t>
  </si>
  <si>
    <t xml:space="preserve">P. VENECIANA Blanco 4mm  20cm </t>
  </si>
  <si>
    <t xml:space="preserve">P. VENECIANA 6mm  20cm </t>
  </si>
  <si>
    <t>D. VIRGEN TALLADA</t>
  </si>
  <si>
    <t>D. MEDALLA GUADALUPE</t>
  </si>
  <si>
    <t>D. CRUZ CIRCONIAS</t>
  </si>
  <si>
    <t>D. CRUZ LUZ</t>
  </si>
  <si>
    <t>D. HERRADURA CABALLO</t>
  </si>
  <si>
    <t>D. SALVADOR</t>
  </si>
  <si>
    <t>D. CRUZ PLANA</t>
  </si>
  <si>
    <t>D. DOLAR</t>
  </si>
  <si>
    <t>D. LEON</t>
  </si>
  <si>
    <t>D. SIGNO DOLAR</t>
  </si>
  <si>
    <t>D. VIRGEN PIEDRAS</t>
  </si>
  <si>
    <t>D. CRUZ PROTECTORA</t>
  </si>
  <si>
    <t xml:space="preserve">D. MADERO NUEVO </t>
  </si>
  <si>
    <t>D. CRUS INRI</t>
  </si>
  <si>
    <t>D. CRUZ PIEDRAS</t>
  </si>
  <si>
    <t>D. ROSTRO GRANDE</t>
  </si>
  <si>
    <t>D. CRUZ LUMINA</t>
  </si>
  <si>
    <t>X3</t>
  </si>
  <si>
    <t>X8</t>
  </si>
  <si>
    <t>X2</t>
  </si>
  <si>
    <t>X1</t>
  </si>
  <si>
    <t>X10</t>
  </si>
  <si>
    <t>X0</t>
  </si>
  <si>
    <t>X11</t>
  </si>
  <si>
    <t>X12</t>
  </si>
  <si>
    <t>X13</t>
  </si>
  <si>
    <t>X14</t>
  </si>
  <si>
    <t>X4</t>
  </si>
  <si>
    <t>X15</t>
  </si>
  <si>
    <t>X5</t>
  </si>
  <si>
    <t>X16</t>
  </si>
  <si>
    <t>X6</t>
  </si>
  <si>
    <t>19cm</t>
  </si>
  <si>
    <t>C. CHINA PLANA 6mm 65cm</t>
  </si>
  <si>
    <t>C. TRIGO 2mm 45cm</t>
  </si>
  <si>
    <t>C. TRIGO 4mm 65cm</t>
  </si>
  <si>
    <t>C. POC CORN 2mm 45cm</t>
  </si>
  <si>
    <t xml:space="preserve">3.4mm </t>
  </si>
  <si>
    <t>P. POC CORN 3.4mm 19cm</t>
  </si>
  <si>
    <t>3.4mm</t>
  </si>
  <si>
    <t>P. CHINA PLANA 6mm 19cm</t>
  </si>
  <si>
    <t>P. TRIGO 3mm 18cm</t>
  </si>
  <si>
    <t>P. SINGAPUR 2mm 18cm</t>
  </si>
  <si>
    <t>P. SINGAPUR 3mm 19cm</t>
  </si>
  <si>
    <t>C. POC CORN 3.4mm 65cm</t>
  </si>
  <si>
    <t>P. EGIPCIA 6mm 20cm</t>
  </si>
  <si>
    <t xml:space="preserve">C. VENECIANA 2mm  45cm </t>
  </si>
  <si>
    <t>C.VENECIANA Blanco 2mm  45cn</t>
  </si>
  <si>
    <t xml:space="preserve">C.VENECIANA 3mm  65cm </t>
  </si>
  <si>
    <t xml:space="preserve">C.VENECIANA Blanco 3mm  65cm </t>
  </si>
  <si>
    <t xml:space="preserve">C. VENECIANA 4mm  65cm </t>
  </si>
  <si>
    <t xml:space="preserve">C. VENECIANA Blanco 4mm  65cm </t>
  </si>
  <si>
    <t xml:space="preserve">C. VENECIANA 6mm  65cm </t>
  </si>
  <si>
    <t xml:space="preserve">C. LAZO 2mm  45cm </t>
  </si>
  <si>
    <t xml:space="preserve">C. LAZO 3mm  45cm </t>
  </si>
  <si>
    <t xml:space="preserve">C.LAZO Blanco 3mm  45cm </t>
  </si>
  <si>
    <t xml:space="preserve">C.LAZO 3mm  65cm </t>
  </si>
  <si>
    <t xml:space="preserve">C. LAZO 4mm  65cm </t>
  </si>
  <si>
    <t xml:space="preserve">C. LAZO Blanco 4mm  65cm </t>
  </si>
  <si>
    <t xml:space="preserve">C. LAZO 6mm  65cm </t>
  </si>
  <si>
    <t xml:space="preserve">C.LAZO 8mm  65cm </t>
  </si>
  <si>
    <t xml:space="preserve">C. GRANO DE CAFE 6mm  45cm </t>
  </si>
  <si>
    <t xml:space="preserve">C. GRANO DE CAFÉ 6mm  65cm </t>
  </si>
  <si>
    <t xml:space="preserve">C. GRANO DE CAFE7mm  65cm </t>
  </si>
  <si>
    <t xml:space="preserve">C. GRANO DE CAFE 9mm  65cm </t>
  </si>
  <si>
    <t xml:space="preserve">P. GRANO DE CAFE 6mm  20cm </t>
  </si>
  <si>
    <t xml:space="preserve">P. GRANO DE CAFE 7mm  20cm </t>
  </si>
  <si>
    <t xml:space="preserve">P. LAZO 2mm  18cm </t>
  </si>
  <si>
    <t xml:space="preserve">P. LAZO 4mm  20cm </t>
  </si>
  <si>
    <t xml:space="preserve">P. LAZO Blaco 4mm  20cm </t>
  </si>
  <si>
    <t xml:space="preserve">P. LAZO 6mm  20cm </t>
  </si>
  <si>
    <t xml:space="preserve">P. LAZO 8mm  20cm </t>
  </si>
  <si>
    <t xml:space="preserve">P. MILITAR Blanco 3mm  20cm </t>
  </si>
  <si>
    <t xml:space="preserve">P. MILITAR 3mm  20cm </t>
  </si>
  <si>
    <t xml:space="preserve">P. MILITAR 3mm  18cm </t>
  </si>
  <si>
    <t xml:space="preserve">P. MILITAR 4mm  20cm </t>
  </si>
  <si>
    <t xml:space="preserve">C. MILITAR Blanco 3mm  65cm </t>
  </si>
  <si>
    <t xml:space="preserve">C. MILITAR 3mm  65cm </t>
  </si>
  <si>
    <t xml:space="preserve">C. MILITAR 6mm  65cm </t>
  </si>
  <si>
    <t xml:space="preserve">C. MILITAR 2mm  45cm </t>
  </si>
  <si>
    <t xml:space="preserve">C. MILITAR 3mm  45cm </t>
  </si>
  <si>
    <t xml:space="preserve">C. FRANCO 2.5mm  45cm </t>
  </si>
  <si>
    <t xml:space="preserve">C. FRANCO Blanco 2.5mm 45cm </t>
  </si>
  <si>
    <t xml:space="preserve">C. FRANCO 3mm  65cm </t>
  </si>
  <si>
    <t xml:space="preserve">C. FRANCO 4mm  65cm </t>
  </si>
  <si>
    <t xml:space="preserve">C. FRANCO Blanco 4mm  65cm </t>
  </si>
  <si>
    <t xml:space="preserve">C. FRANCO 6mm  65cm </t>
  </si>
  <si>
    <t xml:space="preserve">P. FRANCO 2.5mm  18cm </t>
  </si>
  <si>
    <t xml:space="preserve">P. FRANCO 4mm  20cm </t>
  </si>
  <si>
    <t xml:space="preserve">P. FRANCO Blanco 4mm  20cm </t>
  </si>
  <si>
    <t xml:space="preserve">P. FRANCO 6mm  20cm </t>
  </si>
  <si>
    <t xml:space="preserve">P. CRUZADA 3.5mm  18cm </t>
  </si>
  <si>
    <t xml:space="preserve">P. CRUZADA 3.5mm  20cm </t>
  </si>
  <si>
    <t xml:space="preserve">P. CRUZADA 5mm, 20cm </t>
  </si>
  <si>
    <t xml:space="preserve">P. CRUZADA 6mm  20cm </t>
  </si>
  <si>
    <t xml:space="preserve">C. CRUZADA 3.5mm  45cm </t>
  </si>
  <si>
    <t xml:space="preserve">C. CRUZADA 5mm  65cm </t>
  </si>
  <si>
    <t xml:space="preserve">C. CRUZADA 6mm  65cm </t>
  </si>
  <si>
    <t xml:space="preserve">C. EGIPCIA  3mm  45cm </t>
  </si>
  <si>
    <t xml:space="preserve">C. EGIPCIA  4mm  65cm </t>
  </si>
  <si>
    <t xml:space="preserve">C. EGIPCIA  6mm 65cm </t>
  </si>
  <si>
    <t xml:space="preserve">P. EGIPCIA 3mm  18cm </t>
  </si>
  <si>
    <t xml:space="preserve">P. EGIPCIA 4mm  20cm </t>
  </si>
  <si>
    <t xml:space="preserve">P. CUBANA CONTINUA 4mm  18cm </t>
  </si>
  <si>
    <t xml:space="preserve">P. CUBANA CONTINUA 6mm 20cm </t>
  </si>
  <si>
    <t xml:space="preserve">P. CILINDROS 3mm  18cm </t>
  </si>
  <si>
    <t xml:space="preserve">P. CILINDROS 3mm  20cm </t>
  </si>
  <si>
    <t xml:space="preserve">P. CARACOL 2.5mm  18cm </t>
  </si>
  <si>
    <t xml:space="preserve">P.CARACOL 4.5mm  20cm </t>
  </si>
  <si>
    <t xml:space="preserve">C. CARACOL 2.5mm  45cm </t>
  </si>
  <si>
    <t xml:space="preserve">C. CARACOL 4.5mm  65cm </t>
  </si>
  <si>
    <t xml:space="preserve">C. CILINDROS 3mm  45cm </t>
  </si>
  <si>
    <t xml:space="preserve">C. CILINDROS 3mm  65cm </t>
  </si>
  <si>
    <t xml:space="preserve">C. CUBANA CONTINUA 2mm  45cm </t>
  </si>
  <si>
    <t xml:space="preserve">C. CUBANA CONTINUA 3mm  45cm </t>
  </si>
  <si>
    <t xml:space="preserve">C. CUBANA CONTINUA 5mm  65cm </t>
  </si>
  <si>
    <t xml:space="preserve">P. VENECIANA Blanco 3mm  20cm </t>
  </si>
  <si>
    <t xml:space="preserve">C. CORDON 3mm  45cm </t>
  </si>
  <si>
    <t xml:space="preserve">C. CORDON 3mm  65cm </t>
  </si>
  <si>
    <t>C. SINGAPUR 2mm 45cm</t>
  </si>
  <si>
    <t>C. SINGAPUR 3mm 45cm</t>
  </si>
  <si>
    <t>C. SINGAPUR 3mm 65cm</t>
  </si>
  <si>
    <t xml:space="preserve">P. CORDON 3mm  18cm </t>
  </si>
  <si>
    <t xml:space="preserve">P. CORDON 3mm  20cm </t>
  </si>
  <si>
    <t xml:space="preserve">P. ESCAMA 4mm  20cm </t>
  </si>
  <si>
    <t xml:space="preserve">P. ESCAMA 6mm  20cm </t>
  </si>
  <si>
    <t>MEXICO</t>
  </si>
  <si>
    <t xml:space="preserve">C. CHINESCA 4mm  65cm </t>
  </si>
  <si>
    <t xml:space="preserve">P. CUBANA 3mm  18cm </t>
  </si>
  <si>
    <t xml:space="preserve">P. CHINESCA 3mm  18cm </t>
  </si>
  <si>
    <t xml:space="preserve">P. CHINESCA 4mm  20cm </t>
  </si>
  <si>
    <t xml:space="preserve">P. CARTIER 3mm  18cm </t>
  </si>
  <si>
    <t xml:space="preserve">P. GRANO DE CAFE 6mm  18cm </t>
  </si>
  <si>
    <t>MAYORITA</t>
  </si>
  <si>
    <t>DETAL WEB</t>
  </si>
  <si>
    <t>IN</t>
  </si>
  <si>
    <t xml:space="preserve">C. CHINESCA 4mm  45cm </t>
  </si>
  <si>
    <t>EMPRESARIOS</t>
  </si>
  <si>
    <t>MAYORISTAS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</si>
</sst>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\$#,##0.00_);[Red]\(\$#,##0.00\)"/>
    <numFmt numFmtId="165" formatCode="\$#,##0.00;\-\$#,##0.00"/>
    <numFmt numFmtId="166" formatCode="0.0"/>
    <numFmt numFmtId="167" formatCode="_-&quot;$&quot;\ * #,##0.00_-;\-&quot;$&quot;\ * #,##0.00_-;_-&quot;$&quot;\ * &quot;-&quot;_-;_-@_-"/>
    <numFmt numFmtId="168" formatCode="_-&quot;$&quot;\ * #,##0_-;\-&quot;$&quot;\ * #,##0_-;_-&quot;$&quot;\ * &quot;-&quot;??_-;_-@_-"/>
  </numFmts>
  <fonts count="18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4"/>
      <charset val="134"/>
      <scheme val="minor"/>
    </font>
    <font>
      <b/>
      <sz val="12"/>
      <color rgb="FF000000"/>
      <name val="Calibri"/>
      <family val="4"/>
      <charset val="134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4" fillId="0" borderId="0" applyFont="0" applyFill="0" applyBorder="0" applyAlignment="0" applyProtection="0"/>
  </cellStyleXfs>
  <cellXfs count="73">
    <xf numFmtId="0" fontId="0" fillId="0" borderId="0" xfId="0"/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12" fillId="0" borderId="0" xfId="0" applyFont="1"/>
    <xf numFmtId="0" fontId="11" fillId="0" borderId="1" xfId="0" applyFont="1" applyBorder="1" applyAlignment="1">
      <alignment horizontal="center"/>
    </xf>
    <xf numFmtId="0" fontId="11" fillId="3" borderId="1" xfId="0" applyFont="1" applyFill="1" applyBorder="1"/>
    <xf numFmtId="0" fontId="1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/>
    <xf numFmtId="164" fontId="13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/>
    </xf>
    <xf numFmtId="9" fontId="11" fillId="0" borderId="0" xfId="0" applyNumberFormat="1" applyFont="1"/>
    <xf numFmtId="0" fontId="10" fillId="0" borderId="1" xfId="0" applyFont="1" applyBorder="1"/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/>
    <xf numFmtId="0" fontId="10" fillId="0" borderId="0" xfId="0" applyFont="1"/>
    <xf numFmtId="2" fontId="10" fillId="0" borderId="0" xfId="0" applyNumberFormat="1" applyFont="1"/>
    <xf numFmtId="42" fontId="10" fillId="0" borderId="0" xfId="1" applyFont="1"/>
    <xf numFmtId="165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42" fontId="10" fillId="0" borderId="1" xfId="1" applyFont="1" applyBorder="1"/>
    <xf numFmtId="9" fontId="11" fillId="0" borderId="1" xfId="0" applyNumberFormat="1" applyFont="1" applyBorder="1"/>
    <xf numFmtId="2" fontId="10" fillId="0" borderId="1" xfId="0" applyNumberFormat="1" applyFont="1" applyBorder="1"/>
    <xf numFmtId="42" fontId="9" fillId="0" borderId="0" xfId="1" applyFont="1"/>
    <xf numFmtId="0" fontId="12" fillId="0" borderId="1" xfId="0" applyFont="1" applyBorder="1"/>
    <xf numFmtId="0" fontId="12" fillId="0" borderId="3" xfId="0" applyFont="1" applyBorder="1"/>
    <xf numFmtId="0" fontId="8" fillId="0" borderId="1" xfId="0" applyFont="1" applyBorder="1"/>
    <xf numFmtId="166" fontId="10" fillId="0" borderId="1" xfId="0" applyNumberFormat="1" applyFont="1" applyBorder="1"/>
    <xf numFmtId="167" fontId="11" fillId="0" borderId="0" xfId="1" applyNumberFormat="1" applyFont="1"/>
    <xf numFmtId="44" fontId="11" fillId="0" borderId="0" xfId="0" applyNumberFormat="1" applyFont="1"/>
    <xf numFmtId="42" fontId="10" fillId="0" borderId="0" xfId="1" applyFont="1" applyBorder="1"/>
    <xf numFmtId="167" fontId="10" fillId="0" borderId="0" xfId="1" applyNumberFormat="1" applyFont="1" applyBorder="1"/>
    <xf numFmtId="168" fontId="10" fillId="0" borderId="0" xfId="0" applyNumberFormat="1" applyFont="1"/>
    <xf numFmtId="2" fontId="7" fillId="0" borderId="0" xfId="0" applyNumberFormat="1" applyFont="1"/>
    <xf numFmtId="0" fontId="7" fillId="0" borderId="0" xfId="0" applyFont="1"/>
    <xf numFmtId="0" fontId="11" fillId="5" borderId="1" xfId="0" applyFont="1" applyFill="1" applyBorder="1" applyAlignment="1">
      <alignment horizontal="center" vertical="center"/>
    </xf>
    <xf numFmtId="0" fontId="11" fillId="5" borderId="0" xfId="0" applyFont="1" applyFill="1"/>
    <xf numFmtId="0" fontId="11" fillId="5" borderId="1" xfId="0" applyFont="1" applyFill="1" applyBorder="1"/>
    <xf numFmtId="164" fontId="11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13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" xfId="0" applyFont="1" applyBorder="1"/>
    <xf numFmtId="2" fontId="5" fillId="0" borderId="0" xfId="0" applyNumberFormat="1" applyFont="1"/>
    <xf numFmtId="0" fontId="5" fillId="0" borderId="1" xfId="0" applyFont="1" applyBorder="1"/>
    <xf numFmtId="0" fontId="5" fillId="0" borderId="0" xfId="0" applyFont="1"/>
    <xf numFmtId="1" fontId="11" fillId="0" borderId="0" xfId="0" applyNumberFormat="1" applyFont="1"/>
    <xf numFmtId="167" fontId="4" fillId="0" borderId="0" xfId="1" applyNumberFormat="1" applyFont="1"/>
    <xf numFmtId="42" fontId="4" fillId="0" borderId="0" xfId="1" applyFont="1"/>
    <xf numFmtId="2" fontId="3" fillId="0" borderId="0" xfId="0" applyNumberFormat="1" applyFont="1"/>
    <xf numFmtId="0" fontId="3" fillId="0" borderId="0" xfId="0" applyFont="1"/>
    <xf numFmtId="0" fontId="3" fillId="0" borderId="1" xfId="0" applyFont="1" applyBorder="1"/>
    <xf numFmtId="42" fontId="0" fillId="0" borderId="1" xfId="1" applyFont="1" applyBorder="1"/>
    <xf numFmtId="0" fontId="14" fillId="3" borderId="0" xfId="0" applyFont="1" applyFill="1"/>
    <xf numFmtId="42" fontId="0" fillId="0" borderId="4" xfId="1" applyFont="1" applyBorder="1"/>
    <xf numFmtId="0" fontId="16" fillId="3" borderId="1" xfId="0" applyFont="1" applyFill="1" applyBorder="1"/>
    <xf numFmtId="42" fontId="0" fillId="0" borderId="0" xfId="1" applyFont="1"/>
    <xf numFmtId="42" fontId="0" fillId="0" borderId="0" xfId="1" applyFont="1" applyFill="1" applyBorder="1"/>
    <xf numFmtId="167" fontId="0" fillId="0" borderId="0" xfId="1" applyNumberFormat="1" applyFont="1"/>
    <xf numFmtId="42" fontId="17" fillId="0" borderId="0" xfId="0" applyNumberFormat="1" applyFont="1"/>
    <xf numFmtId="0" fontId="2" fillId="0" borderId="0" xfId="0" applyFont="1"/>
    <xf numFmtId="0" fontId="1" fillId="0" borderId="0" xfId="0" applyFont="1"/>
    <xf numFmtId="0" fontId="11" fillId="4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0" fillId="3" borderId="0" xfId="0" applyFill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C487-2D45-484C-A487-2F34950F5146}">
  <dimension ref="A1:BT296"/>
  <sheetViews>
    <sheetView workbookViewId="0">
      <selection activeCell="A5" sqref="A5:B160"/>
    </sheetView>
  </sheetViews>
  <sheetFormatPr baseColWidth="10" defaultColWidth="9" defaultRowHeight="16" x14ac:dyDescent="0.2"/>
  <cols>
    <col min="1" max="1" width="12" style="1" customWidth="1"/>
    <col min="2" max="2" width="29.5" style="1" customWidth="1"/>
    <col min="3" max="3" width="9" style="1"/>
    <col min="4" max="4" width="8.33203125" style="1" customWidth="1"/>
    <col min="5" max="5" width="11.83203125" style="2" customWidth="1"/>
    <col min="6" max="6" width="9" style="1"/>
    <col min="7" max="7" width="12.1640625" style="1" customWidth="1"/>
    <col min="8" max="8" width="10" style="1" customWidth="1"/>
    <col min="9" max="15" width="10.6640625" customWidth="1"/>
    <col min="16" max="16" width="13.5" style="1" bestFit="1" customWidth="1"/>
    <col min="17" max="19" width="13.5" style="1" customWidth="1"/>
    <col min="20" max="20" width="12.1640625" style="1" bestFit="1" customWidth="1"/>
    <col min="21" max="21" width="11.1640625" style="1" bestFit="1" customWidth="1"/>
    <col min="22" max="23" width="11.1640625" style="1" customWidth="1"/>
    <col min="24" max="24" width="9.5" style="1" bestFit="1" customWidth="1"/>
    <col min="25" max="25" width="10.5" style="1" bestFit="1" customWidth="1"/>
    <col min="26" max="26" width="13.5" style="1" bestFit="1" customWidth="1"/>
    <col min="27" max="27" width="12.1640625" style="1" bestFit="1" customWidth="1"/>
    <col min="28" max="28" width="11.1640625" style="1" bestFit="1" customWidth="1"/>
    <col min="29" max="31" width="9" style="1"/>
    <col min="32" max="32" width="11" style="1" bestFit="1" customWidth="1"/>
    <col min="33" max="35" width="9.5" style="1" bestFit="1" customWidth="1"/>
    <col min="36" max="36" width="10.5" style="1" bestFit="1" customWidth="1"/>
    <col min="37" max="38" width="10.5" style="1" customWidth="1"/>
    <col min="39" max="39" width="10.5" style="1" bestFit="1" customWidth="1"/>
    <col min="40" max="49" width="9" style="1"/>
    <col min="50" max="50" width="9.1640625" style="1" bestFit="1" customWidth="1"/>
    <col min="51" max="53" width="9.5" style="1" bestFit="1" customWidth="1"/>
    <col min="54" max="55" width="9" style="1"/>
    <col min="56" max="58" width="9.5" style="1" bestFit="1" customWidth="1"/>
    <col min="59" max="60" width="9" style="1"/>
    <col min="61" max="61" width="9.5" style="1" bestFit="1" customWidth="1"/>
    <col min="62" max="63" width="11" style="1" bestFit="1" customWidth="1"/>
    <col min="64" max="65" width="9" style="1"/>
    <col min="66" max="66" width="12.33203125" style="1" bestFit="1" customWidth="1"/>
    <col min="67" max="68" width="10.5" style="1" bestFit="1" customWidth="1"/>
    <col min="69" max="16384" width="9" style="1"/>
  </cols>
  <sheetData>
    <row r="1" spans="1:72" x14ac:dyDescent="0.2">
      <c r="A1" s="70" t="s">
        <v>243</v>
      </c>
      <c r="B1" s="70"/>
      <c r="C1" s="70"/>
      <c r="D1" s="70"/>
      <c r="E1" s="70"/>
      <c r="F1" s="70"/>
      <c r="G1" s="70"/>
      <c r="H1" s="70"/>
      <c r="I1" s="1"/>
      <c r="J1" s="1"/>
      <c r="K1" s="1"/>
      <c r="L1" s="1"/>
      <c r="M1" s="1"/>
      <c r="N1" s="1"/>
      <c r="O1" s="1"/>
    </row>
    <row r="2" spans="1:72" x14ac:dyDescent="0.2">
      <c r="A2" s="70"/>
      <c r="B2" s="70"/>
      <c r="C2" s="70"/>
      <c r="D2" s="70"/>
      <c r="E2" s="70"/>
      <c r="F2" s="70"/>
      <c r="G2" s="70"/>
      <c r="H2" s="70"/>
      <c r="I2" s="1"/>
      <c r="J2" s="1"/>
      <c r="K2" s="1"/>
      <c r="L2" s="1"/>
      <c r="M2" s="1"/>
      <c r="N2" s="1"/>
      <c r="O2" s="1"/>
      <c r="T2" s="1" t="s">
        <v>49</v>
      </c>
      <c r="AA2" s="1" t="s">
        <v>55</v>
      </c>
      <c r="AH2" s="1" t="s">
        <v>46</v>
      </c>
      <c r="AO2" s="1" t="s">
        <v>47</v>
      </c>
      <c r="AT2" s="1" t="s">
        <v>48</v>
      </c>
      <c r="AY2" s="29" t="s">
        <v>57</v>
      </c>
      <c r="AZ2" s="29"/>
      <c r="BA2" s="27"/>
      <c r="BB2" s="27"/>
      <c r="BD2" s="1" t="s">
        <v>58</v>
      </c>
      <c r="BI2" s="1" t="s">
        <v>234</v>
      </c>
      <c r="BN2" s="1" t="s">
        <v>59</v>
      </c>
    </row>
    <row r="3" spans="1:72" x14ac:dyDescent="0.2">
      <c r="A3" s="71"/>
      <c r="B3" s="71"/>
      <c r="C3" s="71"/>
      <c r="D3" s="71"/>
      <c r="E3" s="71"/>
      <c r="F3" s="71"/>
      <c r="G3" s="71"/>
      <c r="H3" s="71"/>
      <c r="I3" s="1"/>
      <c r="J3" s="1"/>
      <c r="K3" s="1"/>
      <c r="L3" s="1"/>
      <c r="M3" s="1" t="s">
        <v>100</v>
      </c>
      <c r="N3" s="1" t="s">
        <v>50</v>
      </c>
      <c r="O3" s="1" t="s">
        <v>54</v>
      </c>
      <c r="P3" s="29">
        <v>0.2</v>
      </c>
      <c r="Q3" s="29">
        <v>0.1</v>
      </c>
      <c r="R3" s="29">
        <v>0.05</v>
      </c>
      <c r="S3" s="29">
        <v>0.3</v>
      </c>
      <c r="T3" s="29">
        <v>0.25</v>
      </c>
      <c r="U3" s="27"/>
      <c r="V3" s="27" t="s">
        <v>51</v>
      </c>
      <c r="X3" s="1" t="s">
        <v>54</v>
      </c>
      <c r="Z3" s="16">
        <v>0.2</v>
      </c>
      <c r="AA3" s="16">
        <v>0.25</v>
      </c>
      <c r="AC3" s="1" t="s">
        <v>39</v>
      </c>
    </row>
    <row r="4" spans="1:72" x14ac:dyDescent="0.2">
      <c r="A4" s="9" t="s">
        <v>25</v>
      </c>
      <c r="B4" s="7" t="s">
        <v>26</v>
      </c>
      <c r="C4" s="7" t="s">
        <v>27</v>
      </c>
      <c r="D4" s="7" t="s">
        <v>28</v>
      </c>
      <c r="E4" s="15" t="s">
        <v>1</v>
      </c>
      <c r="F4" s="7" t="s">
        <v>0</v>
      </c>
      <c r="G4" s="7"/>
      <c r="H4" s="7" t="s">
        <v>30</v>
      </c>
      <c r="I4" s="27" t="s">
        <v>38</v>
      </c>
      <c r="J4" s="1" t="s">
        <v>101</v>
      </c>
      <c r="K4" s="1" t="s">
        <v>102</v>
      </c>
      <c r="L4" s="1"/>
      <c r="M4" s="1"/>
      <c r="N4" s="1"/>
      <c r="O4" s="1"/>
      <c r="P4" s="27" t="s">
        <v>40</v>
      </c>
      <c r="Q4" s="27"/>
      <c r="R4" s="27"/>
      <c r="S4" s="27" t="s">
        <v>40</v>
      </c>
      <c r="T4" s="27" t="s">
        <v>41</v>
      </c>
      <c r="U4" s="27" t="s">
        <v>42</v>
      </c>
      <c r="V4" s="27" t="s">
        <v>56</v>
      </c>
      <c r="X4" s="1" t="s">
        <v>43</v>
      </c>
      <c r="Z4" s="1" t="s">
        <v>40</v>
      </c>
      <c r="AA4" s="1" t="s">
        <v>41</v>
      </c>
      <c r="AB4" s="1" t="s">
        <v>42</v>
      </c>
      <c r="AF4" s="1" t="s">
        <v>62</v>
      </c>
      <c r="AG4" s="27" t="s">
        <v>40</v>
      </c>
      <c r="AH4" s="27" t="s">
        <v>41</v>
      </c>
      <c r="AI4" s="27" t="s">
        <v>42</v>
      </c>
      <c r="AJ4" s="27" t="s">
        <v>56</v>
      </c>
      <c r="AK4" s="38"/>
      <c r="AM4" s="1" t="s">
        <v>62</v>
      </c>
      <c r="AN4" s="27" t="s">
        <v>40</v>
      </c>
      <c r="AO4" s="27" t="s">
        <v>41</v>
      </c>
      <c r="AP4" s="27" t="s">
        <v>42</v>
      </c>
      <c r="AQ4" s="27" t="s">
        <v>56</v>
      </c>
      <c r="AS4" s="27" t="s">
        <v>40</v>
      </c>
      <c r="AT4" s="27" t="s">
        <v>41</v>
      </c>
      <c r="AU4" s="27" t="s">
        <v>42</v>
      </c>
      <c r="AV4" s="27" t="s">
        <v>56</v>
      </c>
      <c r="AX4" s="27" t="s">
        <v>40</v>
      </c>
      <c r="AY4" s="27" t="s">
        <v>41</v>
      </c>
      <c r="AZ4" s="27" t="s">
        <v>42</v>
      </c>
      <c r="BA4" s="27" t="s">
        <v>56</v>
      </c>
      <c r="BC4" s="27" t="s">
        <v>40</v>
      </c>
      <c r="BD4" s="27" t="s">
        <v>41</v>
      </c>
      <c r="BE4" s="27" t="s">
        <v>42</v>
      </c>
      <c r="BF4" s="27" t="s">
        <v>56</v>
      </c>
      <c r="BH4" s="32" t="s">
        <v>40</v>
      </c>
      <c r="BI4" s="33" t="s">
        <v>41</v>
      </c>
      <c r="BJ4" s="33" t="s">
        <v>42</v>
      </c>
      <c r="BK4" s="33" t="s">
        <v>56</v>
      </c>
      <c r="BM4" s="32" t="s">
        <v>40</v>
      </c>
      <c r="BN4" s="33" t="s">
        <v>41</v>
      </c>
      <c r="BO4" s="33" t="s">
        <v>42</v>
      </c>
      <c r="BP4" s="33" t="s">
        <v>56</v>
      </c>
      <c r="BR4" s="54"/>
    </row>
    <row r="5" spans="1:72" s="44" customFormat="1" x14ac:dyDescent="0.2">
      <c r="A5" s="43">
        <v>24557</v>
      </c>
      <c r="B5" s="47" t="s">
        <v>123</v>
      </c>
      <c r="C5" s="45"/>
      <c r="D5" s="45"/>
      <c r="E5" s="46"/>
      <c r="F5" s="24">
        <v>2.2000000000000002</v>
      </c>
      <c r="G5" s="45"/>
      <c r="H5" s="45"/>
      <c r="I5" s="17">
        <f t="shared" ref="I5:I21" si="0">F5+0.68</f>
        <v>2.8800000000000003</v>
      </c>
      <c r="J5" s="21">
        <f t="shared" ref="J5:J21" si="1">F5+1.2</f>
        <v>3.4000000000000004</v>
      </c>
      <c r="K5" s="21">
        <f t="shared" ref="K5:K21" si="2">F5+1.87</f>
        <v>4.07</v>
      </c>
      <c r="L5" s="21">
        <f t="shared" ref="L5:L21" si="3">I5*2</f>
        <v>5.7600000000000007</v>
      </c>
      <c r="M5" s="21">
        <f t="shared" ref="M5:M21" si="4">I5*2.5</f>
        <v>7.2000000000000011</v>
      </c>
      <c r="N5" s="21">
        <f t="shared" ref="N5:N21" si="5">I5*3</f>
        <v>8.64</v>
      </c>
      <c r="O5" s="21">
        <f t="shared" ref="O5:O21" si="6">I5*3.5</f>
        <v>10.080000000000002</v>
      </c>
      <c r="P5" s="30">
        <f t="shared" ref="P5:P21" si="7">T5*0.8</f>
        <v>17.28</v>
      </c>
      <c r="Q5" s="30">
        <f t="shared" ref="Q5:Q21" si="8">T5*0.9</f>
        <v>19.440000000000001</v>
      </c>
      <c r="R5" s="30">
        <f t="shared" ref="R5:R21" si="9">T5*0.95</f>
        <v>20.52</v>
      </c>
      <c r="S5" s="30">
        <f t="shared" ref="S5:S21" si="10">U5*0.7</f>
        <v>20.16</v>
      </c>
      <c r="T5" s="30">
        <f t="shared" ref="T5:T21" si="11">U5*0.75</f>
        <v>21.6</v>
      </c>
      <c r="U5" s="35">
        <f t="shared" ref="U5:U21" si="12">I5*10</f>
        <v>28.800000000000004</v>
      </c>
      <c r="V5" s="30">
        <f t="shared" ref="V5:V21" si="13">I5*20</f>
        <v>57.600000000000009</v>
      </c>
      <c r="W5" s="21"/>
      <c r="X5" s="23">
        <f t="shared" ref="X5:X21" si="14">O5*4000</f>
        <v>40320.000000000007</v>
      </c>
      <c r="Y5" s="23">
        <f t="shared" ref="Y5:Y21" si="15">Z5*0.9</f>
        <v>62208</v>
      </c>
      <c r="Z5" s="23">
        <f t="shared" ref="Z5:Z21" si="16">P5*4000</f>
        <v>69120</v>
      </c>
      <c r="AA5" s="23">
        <f t="shared" ref="AA5:AA21" si="17">T5*4000</f>
        <v>86400</v>
      </c>
      <c r="AB5" s="23">
        <f t="shared" ref="AB5:AB21" si="18">U5*4000</f>
        <v>115200.00000000001</v>
      </c>
      <c r="AC5" s="1"/>
      <c r="AD5" s="1"/>
      <c r="AE5" s="36">
        <f t="shared" ref="AE5:AE21" si="19">I5+0.6</f>
        <v>3.4800000000000004</v>
      </c>
      <c r="AF5" s="37">
        <f t="shared" ref="AF5:AF21" si="20">AE5*971</f>
        <v>3379.0800000000004</v>
      </c>
      <c r="AG5" s="28">
        <f t="shared" ref="AG5:AG21" si="21">P5*971</f>
        <v>16778.88</v>
      </c>
      <c r="AH5" s="28">
        <f t="shared" ref="AH5:AH21" si="22">T5*971</f>
        <v>20973.600000000002</v>
      </c>
      <c r="AI5" s="28">
        <f t="shared" ref="AI5:AI21" si="23">U5*971</f>
        <v>27964.800000000003</v>
      </c>
      <c r="AJ5" s="28">
        <f t="shared" ref="AJ5:AJ21" si="24">V5*971</f>
        <v>55929.600000000006</v>
      </c>
      <c r="AK5" s="38"/>
      <c r="AL5" s="39">
        <v>-13.58</v>
      </c>
      <c r="AM5" s="40">
        <f t="shared" ref="AM5:AM21" si="25">AL5*62</f>
        <v>-841.96</v>
      </c>
      <c r="AN5" s="28">
        <f t="shared" ref="AN5:AN21" si="26">P5*62</f>
        <v>1071.3600000000001</v>
      </c>
      <c r="AO5" s="28">
        <f t="shared" ref="AO5:AO21" si="27">T5*62</f>
        <v>1339.2</v>
      </c>
      <c r="AP5" s="28">
        <f t="shared" ref="AP5:AP21" si="28">U5*62</f>
        <v>1785.6000000000004</v>
      </c>
      <c r="AQ5" s="28">
        <f t="shared" ref="AQ5:AQ21" si="29">V5*62</f>
        <v>3571.2000000000007</v>
      </c>
      <c r="AR5" s="21"/>
      <c r="AS5" s="28">
        <f t="shared" ref="AS5:AS21" si="30">P5*7.7</f>
        <v>133.05600000000001</v>
      </c>
      <c r="AT5" s="28">
        <f t="shared" ref="AT5:AT21" si="31">T5*7.7</f>
        <v>166.32000000000002</v>
      </c>
      <c r="AU5" s="28">
        <f t="shared" ref="AU5:AU21" si="32">U5*7.7</f>
        <v>221.76000000000005</v>
      </c>
      <c r="AV5" s="28">
        <f t="shared" ref="AV5:AV21" si="33">V5*7.7</f>
        <v>443.5200000000001</v>
      </c>
      <c r="AW5" s="1"/>
      <c r="AX5" s="31">
        <f t="shared" ref="AX5:AX21" si="34">P5*500</f>
        <v>8640</v>
      </c>
      <c r="AY5" s="31">
        <f t="shared" ref="AY5:AY21" si="35">T5*500</f>
        <v>10800</v>
      </c>
      <c r="AZ5" s="31">
        <f t="shared" ref="AZ5:AZ21" si="36">U5*500</f>
        <v>14400.000000000002</v>
      </c>
      <c r="BA5" s="31">
        <f t="shared" ref="BA5:BA21" si="37">V5*500</f>
        <v>28800.000000000004</v>
      </c>
      <c r="BB5" s="1"/>
      <c r="BC5" s="1"/>
      <c r="BD5" s="55">
        <f>T5*3.45</f>
        <v>74.52000000000001</v>
      </c>
      <c r="BE5" s="55">
        <f>U5*3.45</f>
        <v>99.360000000000014</v>
      </c>
      <c r="BF5" s="55">
        <f>V5*3.45</f>
        <v>198.72000000000003</v>
      </c>
      <c r="BG5" s="1"/>
      <c r="BH5" s="1"/>
      <c r="BI5" s="55">
        <f>T5*17.95</f>
        <v>387.72</v>
      </c>
      <c r="BJ5" s="55">
        <f>U5*17.95</f>
        <v>516.96</v>
      </c>
      <c r="BK5" s="55">
        <f>V5*17.95</f>
        <v>1033.92</v>
      </c>
      <c r="BL5" s="1"/>
      <c r="BM5" s="1"/>
      <c r="BN5" s="56">
        <f>T5*6451</f>
        <v>139341.6</v>
      </c>
      <c r="BO5" s="56">
        <f>U5*6451</f>
        <v>185788.80000000002</v>
      </c>
      <c r="BP5" s="56">
        <f>V5*6451</f>
        <v>371577.60000000003</v>
      </c>
      <c r="BQ5" s="1"/>
      <c r="BR5" s="54"/>
      <c r="BS5" s="1"/>
      <c r="BT5" s="1"/>
    </row>
    <row r="6" spans="1:72" s="44" customFormat="1" x14ac:dyDescent="0.2">
      <c r="A6" s="43">
        <v>25221</v>
      </c>
      <c r="B6" s="47" t="s">
        <v>122</v>
      </c>
      <c r="C6" s="45"/>
      <c r="D6" s="45"/>
      <c r="E6" s="46"/>
      <c r="F6" s="24">
        <v>2.9</v>
      </c>
      <c r="G6" s="45"/>
      <c r="H6" s="45"/>
      <c r="I6" s="17">
        <f t="shared" si="0"/>
        <v>3.58</v>
      </c>
      <c r="J6" s="21">
        <f t="shared" si="1"/>
        <v>4.0999999999999996</v>
      </c>
      <c r="K6" s="21">
        <f t="shared" si="2"/>
        <v>4.7699999999999996</v>
      </c>
      <c r="L6" s="21">
        <f t="shared" si="3"/>
        <v>7.16</v>
      </c>
      <c r="M6" s="21">
        <f t="shared" si="4"/>
        <v>8.9499999999999993</v>
      </c>
      <c r="N6" s="21">
        <f t="shared" si="5"/>
        <v>10.74</v>
      </c>
      <c r="O6" s="21">
        <f t="shared" si="6"/>
        <v>12.530000000000001</v>
      </c>
      <c r="P6" s="30">
        <f t="shared" si="7"/>
        <v>21.48</v>
      </c>
      <c r="Q6" s="30">
        <f t="shared" si="8"/>
        <v>24.164999999999999</v>
      </c>
      <c r="R6" s="30">
        <f t="shared" si="9"/>
        <v>25.507499999999997</v>
      </c>
      <c r="S6" s="30">
        <f t="shared" si="10"/>
        <v>25.059999999999995</v>
      </c>
      <c r="T6" s="30">
        <f t="shared" si="11"/>
        <v>26.849999999999998</v>
      </c>
      <c r="U6" s="35">
        <f t="shared" si="12"/>
        <v>35.799999999999997</v>
      </c>
      <c r="V6" s="30">
        <f t="shared" si="13"/>
        <v>71.599999999999994</v>
      </c>
      <c r="W6" s="21"/>
      <c r="X6" s="23">
        <f t="shared" si="14"/>
        <v>50120.000000000007</v>
      </c>
      <c r="Y6" s="23">
        <f t="shared" si="15"/>
        <v>77328</v>
      </c>
      <c r="Z6" s="23">
        <f t="shared" si="16"/>
        <v>85920</v>
      </c>
      <c r="AA6" s="23">
        <f t="shared" si="17"/>
        <v>107399.99999999999</v>
      </c>
      <c r="AB6" s="23">
        <f t="shared" si="18"/>
        <v>143200</v>
      </c>
      <c r="AC6" s="1"/>
      <c r="AD6" s="1"/>
      <c r="AE6" s="36">
        <f t="shared" si="19"/>
        <v>4.18</v>
      </c>
      <c r="AF6" s="37">
        <f t="shared" si="20"/>
        <v>4058.7799999999997</v>
      </c>
      <c r="AG6" s="28">
        <f t="shared" si="21"/>
        <v>20857.080000000002</v>
      </c>
      <c r="AH6" s="28">
        <f t="shared" si="22"/>
        <v>26071.35</v>
      </c>
      <c r="AI6" s="28">
        <f t="shared" si="23"/>
        <v>34761.799999999996</v>
      </c>
      <c r="AJ6" s="28">
        <f t="shared" si="24"/>
        <v>69523.599999999991</v>
      </c>
      <c r="AK6" s="38"/>
      <c r="AL6" s="39">
        <v>-12.58</v>
      </c>
      <c r="AM6" s="40">
        <f t="shared" si="25"/>
        <v>-779.96</v>
      </c>
      <c r="AN6" s="28">
        <f t="shared" si="26"/>
        <v>1331.76</v>
      </c>
      <c r="AO6" s="28">
        <f t="shared" si="27"/>
        <v>1664.6999999999998</v>
      </c>
      <c r="AP6" s="28">
        <f t="shared" si="28"/>
        <v>2219.6</v>
      </c>
      <c r="AQ6" s="28">
        <f t="shared" si="29"/>
        <v>4439.2</v>
      </c>
      <c r="AR6" s="21"/>
      <c r="AS6" s="28">
        <f t="shared" si="30"/>
        <v>165.39600000000002</v>
      </c>
      <c r="AT6" s="28">
        <f t="shared" si="31"/>
        <v>206.74499999999998</v>
      </c>
      <c r="AU6" s="28">
        <f t="shared" si="32"/>
        <v>275.65999999999997</v>
      </c>
      <c r="AV6" s="28">
        <f t="shared" si="33"/>
        <v>551.31999999999994</v>
      </c>
      <c r="AW6" s="1"/>
      <c r="AX6" s="31">
        <f t="shared" si="34"/>
        <v>10740</v>
      </c>
      <c r="AY6" s="31">
        <f t="shared" si="35"/>
        <v>13424.999999999998</v>
      </c>
      <c r="AZ6" s="31">
        <f t="shared" si="36"/>
        <v>17900</v>
      </c>
      <c r="BA6" s="31">
        <f t="shared" si="37"/>
        <v>35800</v>
      </c>
      <c r="BB6" s="1"/>
      <c r="BC6" s="1"/>
      <c r="BD6" s="55">
        <f t="shared" ref="BD6:BD69" si="38">T6*3.45</f>
        <v>92.632499999999993</v>
      </c>
      <c r="BE6" s="55">
        <f t="shared" ref="BE6:BE69" si="39">U6*3.45</f>
        <v>123.50999999999999</v>
      </c>
      <c r="BF6" s="55">
        <f t="shared" ref="BF6:BF69" si="40">V6*3.45</f>
        <v>247.01999999999998</v>
      </c>
      <c r="BG6" s="1"/>
      <c r="BH6" s="1"/>
      <c r="BI6" s="55">
        <f t="shared" ref="BI6:BI69" si="41">T6*17.95</f>
        <v>481.95749999999992</v>
      </c>
      <c r="BJ6" s="55">
        <f t="shared" ref="BJ6:BJ69" si="42">U6*17.95</f>
        <v>642.6099999999999</v>
      </c>
      <c r="BK6" s="55">
        <f t="shared" ref="BK6:BK69" si="43">V6*17.95</f>
        <v>1285.2199999999998</v>
      </c>
      <c r="BL6" s="1"/>
      <c r="BM6" s="1"/>
      <c r="BN6" s="56">
        <f t="shared" ref="BN6:BN69" si="44">T6*6451</f>
        <v>173209.34999999998</v>
      </c>
      <c r="BO6" s="56">
        <f t="shared" ref="BO6:BO69" si="45">U6*6451</f>
        <v>230945.8</v>
      </c>
      <c r="BP6" s="56">
        <f t="shared" ref="BP6:BP69" si="46">V6*6451</f>
        <v>461891.6</v>
      </c>
      <c r="BQ6" s="1"/>
      <c r="BR6" s="54"/>
      <c r="BS6" s="1"/>
      <c r="BT6" s="1"/>
    </row>
    <row r="7" spans="1:72" s="44" customFormat="1" x14ac:dyDescent="0.2">
      <c r="A7" s="43">
        <v>25339</v>
      </c>
      <c r="B7" s="47" t="s">
        <v>121</v>
      </c>
      <c r="C7" s="45"/>
      <c r="D7" s="45"/>
      <c r="E7" s="46"/>
      <c r="F7" s="24">
        <v>2.2999999999999998</v>
      </c>
      <c r="G7" s="45"/>
      <c r="H7" s="45"/>
      <c r="I7" s="17">
        <f t="shared" si="0"/>
        <v>2.98</v>
      </c>
      <c r="J7" s="21">
        <f t="shared" si="1"/>
        <v>3.5</v>
      </c>
      <c r="K7" s="21">
        <f t="shared" si="2"/>
        <v>4.17</v>
      </c>
      <c r="L7" s="21">
        <f t="shared" si="3"/>
        <v>5.96</v>
      </c>
      <c r="M7" s="21">
        <f t="shared" si="4"/>
        <v>7.45</v>
      </c>
      <c r="N7" s="21">
        <f t="shared" si="5"/>
        <v>8.94</v>
      </c>
      <c r="O7" s="21">
        <f t="shared" si="6"/>
        <v>10.43</v>
      </c>
      <c r="P7" s="30">
        <f t="shared" si="7"/>
        <v>17.880000000000003</v>
      </c>
      <c r="Q7" s="30">
        <f t="shared" si="8"/>
        <v>20.115000000000002</v>
      </c>
      <c r="R7" s="30">
        <f t="shared" si="9"/>
        <v>21.232500000000002</v>
      </c>
      <c r="S7" s="30">
        <f t="shared" si="10"/>
        <v>20.86</v>
      </c>
      <c r="T7" s="30">
        <f t="shared" si="11"/>
        <v>22.35</v>
      </c>
      <c r="U7" s="35">
        <f t="shared" si="12"/>
        <v>29.8</v>
      </c>
      <c r="V7" s="30">
        <f t="shared" si="13"/>
        <v>59.6</v>
      </c>
      <c r="W7" s="21"/>
      <c r="X7" s="23">
        <f t="shared" si="14"/>
        <v>41720</v>
      </c>
      <c r="Y7" s="23">
        <f t="shared" si="15"/>
        <v>64368.000000000015</v>
      </c>
      <c r="Z7" s="23">
        <f t="shared" si="16"/>
        <v>71520.000000000015</v>
      </c>
      <c r="AA7" s="23">
        <f t="shared" si="17"/>
        <v>89400</v>
      </c>
      <c r="AB7" s="23">
        <f t="shared" si="18"/>
        <v>119200</v>
      </c>
      <c r="AC7" s="1"/>
      <c r="AD7" s="1"/>
      <c r="AE7" s="36">
        <f t="shared" si="19"/>
        <v>3.58</v>
      </c>
      <c r="AF7" s="37">
        <f t="shared" si="20"/>
        <v>3476.1800000000003</v>
      </c>
      <c r="AG7" s="28">
        <f t="shared" si="21"/>
        <v>17361.480000000003</v>
      </c>
      <c r="AH7" s="28">
        <f t="shared" si="22"/>
        <v>21701.850000000002</v>
      </c>
      <c r="AI7" s="28">
        <f t="shared" si="23"/>
        <v>28935.8</v>
      </c>
      <c r="AJ7" s="28">
        <f t="shared" si="24"/>
        <v>57871.6</v>
      </c>
      <c r="AK7" s="38"/>
      <c r="AL7" s="39">
        <v>-11.58</v>
      </c>
      <c r="AM7" s="40">
        <f t="shared" si="25"/>
        <v>-717.96</v>
      </c>
      <c r="AN7" s="28">
        <f t="shared" si="26"/>
        <v>1108.5600000000002</v>
      </c>
      <c r="AO7" s="28">
        <f t="shared" si="27"/>
        <v>1385.7</v>
      </c>
      <c r="AP7" s="28">
        <f t="shared" si="28"/>
        <v>1847.6000000000001</v>
      </c>
      <c r="AQ7" s="28">
        <f t="shared" si="29"/>
        <v>3695.2000000000003</v>
      </c>
      <c r="AR7" s="21"/>
      <c r="AS7" s="28">
        <f t="shared" si="30"/>
        <v>137.67600000000002</v>
      </c>
      <c r="AT7" s="28">
        <f t="shared" si="31"/>
        <v>172.09500000000003</v>
      </c>
      <c r="AU7" s="28">
        <f t="shared" si="32"/>
        <v>229.46</v>
      </c>
      <c r="AV7" s="28">
        <f t="shared" si="33"/>
        <v>458.92</v>
      </c>
      <c r="AW7" s="1"/>
      <c r="AX7" s="31">
        <f t="shared" si="34"/>
        <v>8940.0000000000018</v>
      </c>
      <c r="AY7" s="31">
        <f t="shared" si="35"/>
        <v>11175</v>
      </c>
      <c r="AZ7" s="31">
        <f t="shared" si="36"/>
        <v>14900</v>
      </c>
      <c r="BA7" s="31">
        <f t="shared" si="37"/>
        <v>29800</v>
      </c>
      <c r="BB7" s="1"/>
      <c r="BC7" s="1"/>
      <c r="BD7" s="55">
        <f t="shared" si="38"/>
        <v>77.107500000000016</v>
      </c>
      <c r="BE7" s="55">
        <f t="shared" si="39"/>
        <v>102.81</v>
      </c>
      <c r="BF7" s="55">
        <f t="shared" si="40"/>
        <v>205.62</v>
      </c>
      <c r="BG7" s="1"/>
      <c r="BH7" s="1"/>
      <c r="BI7" s="55">
        <f t="shared" si="41"/>
        <v>401.1825</v>
      </c>
      <c r="BJ7" s="55">
        <f t="shared" si="42"/>
        <v>534.91</v>
      </c>
      <c r="BK7" s="55">
        <f t="shared" si="43"/>
        <v>1069.82</v>
      </c>
      <c r="BL7" s="1"/>
      <c r="BM7" s="1"/>
      <c r="BN7" s="56">
        <f t="shared" si="44"/>
        <v>144179.85</v>
      </c>
      <c r="BO7" s="56">
        <f t="shared" si="45"/>
        <v>192239.80000000002</v>
      </c>
      <c r="BP7" s="56">
        <f t="shared" si="46"/>
        <v>384479.60000000003</v>
      </c>
      <c r="BQ7" s="1"/>
      <c r="BR7" s="54"/>
      <c r="BS7" s="1"/>
      <c r="BT7" s="1"/>
    </row>
    <row r="8" spans="1:72" s="44" customFormat="1" x14ac:dyDescent="0.2">
      <c r="A8" s="43">
        <v>25444</v>
      </c>
      <c r="B8" s="47" t="s">
        <v>120</v>
      </c>
      <c r="C8" s="45"/>
      <c r="D8" s="45"/>
      <c r="E8" s="46"/>
      <c r="F8" s="24">
        <v>2.4</v>
      </c>
      <c r="G8" s="45"/>
      <c r="H8" s="45"/>
      <c r="I8" s="17">
        <f t="shared" si="0"/>
        <v>3.08</v>
      </c>
      <c r="J8" s="21">
        <f t="shared" si="1"/>
        <v>3.5999999999999996</v>
      </c>
      <c r="K8" s="21">
        <f t="shared" si="2"/>
        <v>4.2699999999999996</v>
      </c>
      <c r="L8" s="21">
        <f t="shared" si="3"/>
        <v>6.16</v>
      </c>
      <c r="M8" s="21">
        <f t="shared" si="4"/>
        <v>7.7</v>
      </c>
      <c r="N8" s="21">
        <f t="shared" si="5"/>
        <v>9.24</v>
      </c>
      <c r="O8" s="21">
        <f t="shared" si="6"/>
        <v>10.780000000000001</v>
      </c>
      <c r="P8" s="30">
        <f t="shared" si="7"/>
        <v>18.48</v>
      </c>
      <c r="Q8" s="30">
        <f t="shared" si="8"/>
        <v>20.790000000000003</v>
      </c>
      <c r="R8" s="30">
        <f t="shared" si="9"/>
        <v>21.945</v>
      </c>
      <c r="S8" s="30">
        <f t="shared" si="10"/>
        <v>21.56</v>
      </c>
      <c r="T8" s="30">
        <f t="shared" si="11"/>
        <v>23.1</v>
      </c>
      <c r="U8" s="35">
        <f t="shared" si="12"/>
        <v>30.8</v>
      </c>
      <c r="V8" s="30">
        <f t="shared" si="13"/>
        <v>61.6</v>
      </c>
      <c r="W8" s="21"/>
      <c r="X8" s="23">
        <f t="shared" si="14"/>
        <v>43120.000000000007</v>
      </c>
      <c r="Y8" s="23">
        <f t="shared" si="15"/>
        <v>66528</v>
      </c>
      <c r="Z8" s="23">
        <f t="shared" si="16"/>
        <v>73920</v>
      </c>
      <c r="AA8" s="23">
        <f t="shared" si="17"/>
        <v>92400</v>
      </c>
      <c r="AB8" s="23">
        <f t="shared" si="18"/>
        <v>123200</v>
      </c>
      <c r="AC8" s="1"/>
      <c r="AD8" s="1"/>
      <c r="AE8" s="36">
        <f t="shared" si="19"/>
        <v>3.68</v>
      </c>
      <c r="AF8" s="37">
        <f t="shared" si="20"/>
        <v>3573.28</v>
      </c>
      <c r="AG8" s="28">
        <f t="shared" si="21"/>
        <v>17944.080000000002</v>
      </c>
      <c r="AH8" s="28">
        <f t="shared" si="22"/>
        <v>22430.100000000002</v>
      </c>
      <c r="AI8" s="28">
        <f t="shared" si="23"/>
        <v>29906.799999999999</v>
      </c>
      <c r="AJ8" s="28">
        <f t="shared" si="24"/>
        <v>59813.599999999999</v>
      </c>
      <c r="AK8" s="38"/>
      <c r="AL8" s="39">
        <v>-10.58</v>
      </c>
      <c r="AM8" s="40">
        <f t="shared" si="25"/>
        <v>-655.96</v>
      </c>
      <c r="AN8" s="28">
        <f t="shared" si="26"/>
        <v>1145.76</v>
      </c>
      <c r="AO8" s="28">
        <f t="shared" si="27"/>
        <v>1432.2</v>
      </c>
      <c r="AP8" s="28">
        <f t="shared" si="28"/>
        <v>1909.6000000000001</v>
      </c>
      <c r="AQ8" s="28">
        <f t="shared" si="29"/>
        <v>3819.2000000000003</v>
      </c>
      <c r="AR8" s="21"/>
      <c r="AS8" s="28">
        <f t="shared" si="30"/>
        <v>142.29600000000002</v>
      </c>
      <c r="AT8" s="28">
        <f t="shared" si="31"/>
        <v>177.87</v>
      </c>
      <c r="AU8" s="28">
        <f t="shared" si="32"/>
        <v>237.16000000000003</v>
      </c>
      <c r="AV8" s="28">
        <f t="shared" si="33"/>
        <v>474.32000000000005</v>
      </c>
      <c r="AW8" s="1"/>
      <c r="AX8" s="31">
        <f t="shared" si="34"/>
        <v>9240</v>
      </c>
      <c r="AY8" s="31">
        <f t="shared" si="35"/>
        <v>11550</v>
      </c>
      <c r="AZ8" s="31">
        <f t="shared" si="36"/>
        <v>15400</v>
      </c>
      <c r="BA8" s="31">
        <f t="shared" si="37"/>
        <v>30800</v>
      </c>
      <c r="BB8" s="1"/>
      <c r="BC8" s="1"/>
      <c r="BD8" s="55">
        <f t="shared" si="38"/>
        <v>79.695000000000007</v>
      </c>
      <c r="BE8" s="55">
        <f t="shared" si="39"/>
        <v>106.26</v>
      </c>
      <c r="BF8" s="55">
        <f t="shared" si="40"/>
        <v>212.52</v>
      </c>
      <c r="BG8" s="1"/>
      <c r="BH8" s="1"/>
      <c r="BI8" s="55">
        <f t="shared" si="41"/>
        <v>414.64499999999998</v>
      </c>
      <c r="BJ8" s="55">
        <f t="shared" si="42"/>
        <v>552.86</v>
      </c>
      <c r="BK8" s="55">
        <f t="shared" si="43"/>
        <v>1105.72</v>
      </c>
      <c r="BL8" s="1"/>
      <c r="BM8" s="1"/>
      <c r="BN8" s="56">
        <f t="shared" si="44"/>
        <v>149018.1</v>
      </c>
      <c r="BO8" s="56">
        <f t="shared" si="45"/>
        <v>198690.80000000002</v>
      </c>
      <c r="BP8" s="56">
        <f t="shared" si="46"/>
        <v>397381.60000000003</v>
      </c>
      <c r="BQ8" s="1"/>
      <c r="BR8" s="54"/>
      <c r="BS8" s="1"/>
      <c r="BT8" s="1"/>
    </row>
    <row r="9" spans="1:72" s="44" customFormat="1" x14ac:dyDescent="0.2">
      <c r="A9" s="43">
        <v>25454</v>
      </c>
      <c r="B9" s="48" t="s">
        <v>119</v>
      </c>
      <c r="C9" s="45"/>
      <c r="D9" s="45"/>
      <c r="E9" s="46"/>
      <c r="F9" s="24">
        <v>2.08</v>
      </c>
      <c r="G9" s="45"/>
      <c r="H9" s="45"/>
      <c r="I9" s="17">
        <f t="shared" si="0"/>
        <v>2.7600000000000002</v>
      </c>
      <c r="J9" s="21">
        <f t="shared" si="1"/>
        <v>3.2800000000000002</v>
      </c>
      <c r="K9" s="21">
        <f t="shared" si="2"/>
        <v>3.95</v>
      </c>
      <c r="L9" s="21">
        <f t="shared" si="3"/>
        <v>5.5200000000000005</v>
      </c>
      <c r="M9" s="21">
        <f t="shared" si="4"/>
        <v>6.9</v>
      </c>
      <c r="N9" s="21">
        <f t="shared" si="5"/>
        <v>8.2800000000000011</v>
      </c>
      <c r="O9" s="21">
        <f t="shared" si="6"/>
        <v>9.66</v>
      </c>
      <c r="P9" s="30">
        <f t="shared" si="7"/>
        <v>16.560000000000002</v>
      </c>
      <c r="Q9" s="30">
        <f t="shared" si="8"/>
        <v>18.630000000000003</v>
      </c>
      <c r="R9" s="30">
        <f t="shared" si="9"/>
        <v>19.665000000000003</v>
      </c>
      <c r="S9" s="30">
        <f t="shared" si="10"/>
        <v>19.32</v>
      </c>
      <c r="T9" s="30">
        <f t="shared" si="11"/>
        <v>20.700000000000003</v>
      </c>
      <c r="U9" s="35">
        <f t="shared" si="12"/>
        <v>27.6</v>
      </c>
      <c r="V9" s="30">
        <f t="shared" si="13"/>
        <v>55.2</v>
      </c>
      <c r="W9" s="21"/>
      <c r="X9" s="23">
        <f t="shared" si="14"/>
        <v>38640</v>
      </c>
      <c r="Y9" s="23">
        <f t="shared" si="15"/>
        <v>59616.000000000015</v>
      </c>
      <c r="Z9" s="23">
        <f t="shared" si="16"/>
        <v>66240.000000000015</v>
      </c>
      <c r="AA9" s="23">
        <f t="shared" si="17"/>
        <v>82800.000000000015</v>
      </c>
      <c r="AB9" s="23">
        <f t="shared" si="18"/>
        <v>110400</v>
      </c>
      <c r="AC9" s="1"/>
      <c r="AD9" s="1"/>
      <c r="AE9" s="36">
        <f t="shared" si="19"/>
        <v>3.3600000000000003</v>
      </c>
      <c r="AF9" s="37">
        <f t="shared" si="20"/>
        <v>3262.5600000000004</v>
      </c>
      <c r="AG9" s="28">
        <f t="shared" si="21"/>
        <v>16079.760000000002</v>
      </c>
      <c r="AH9" s="28">
        <f t="shared" si="22"/>
        <v>20099.700000000004</v>
      </c>
      <c r="AI9" s="28">
        <f t="shared" si="23"/>
        <v>26799.600000000002</v>
      </c>
      <c r="AJ9" s="28">
        <f t="shared" si="24"/>
        <v>53599.200000000004</v>
      </c>
      <c r="AK9" s="38"/>
      <c r="AL9" s="39">
        <v>-9.58</v>
      </c>
      <c r="AM9" s="40">
        <f t="shared" si="25"/>
        <v>-593.96</v>
      </c>
      <c r="AN9" s="28">
        <f t="shared" si="26"/>
        <v>1026.7200000000003</v>
      </c>
      <c r="AO9" s="28">
        <f t="shared" si="27"/>
        <v>1283.4000000000001</v>
      </c>
      <c r="AP9" s="28">
        <f t="shared" si="28"/>
        <v>1711.2</v>
      </c>
      <c r="AQ9" s="28">
        <f t="shared" si="29"/>
        <v>3422.4</v>
      </c>
      <c r="AR9" s="21"/>
      <c r="AS9" s="28">
        <f t="shared" si="30"/>
        <v>127.51200000000001</v>
      </c>
      <c r="AT9" s="28">
        <f t="shared" si="31"/>
        <v>159.39000000000001</v>
      </c>
      <c r="AU9" s="28">
        <f t="shared" si="32"/>
        <v>212.52</v>
      </c>
      <c r="AV9" s="28">
        <f t="shared" si="33"/>
        <v>425.04</v>
      </c>
      <c r="AW9" s="1"/>
      <c r="AX9" s="31">
        <f t="shared" si="34"/>
        <v>8280.0000000000018</v>
      </c>
      <c r="AY9" s="31">
        <f t="shared" si="35"/>
        <v>10350.000000000002</v>
      </c>
      <c r="AZ9" s="31">
        <f t="shared" si="36"/>
        <v>13800</v>
      </c>
      <c r="BA9" s="31">
        <f t="shared" si="37"/>
        <v>27600</v>
      </c>
      <c r="BB9" s="1"/>
      <c r="BC9" s="1"/>
      <c r="BD9" s="55">
        <f t="shared" si="38"/>
        <v>71.41500000000002</v>
      </c>
      <c r="BE9" s="55">
        <f t="shared" si="39"/>
        <v>95.220000000000013</v>
      </c>
      <c r="BF9" s="55">
        <f t="shared" si="40"/>
        <v>190.44000000000003</v>
      </c>
      <c r="BG9" s="1"/>
      <c r="BH9" s="1"/>
      <c r="BI9" s="55">
        <f t="shared" si="41"/>
        <v>371.56500000000005</v>
      </c>
      <c r="BJ9" s="55">
        <f t="shared" si="42"/>
        <v>495.42</v>
      </c>
      <c r="BK9" s="55">
        <f t="shared" si="43"/>
        <v>990.84</v>
      </c>
      <c r="BL9" s="1"/>
      <c r="BM9" s="1"/>
      <c r="BN9" s="56">
        <f t="shared" si="44"/>
        <v>133535.70000000001</v>
      </c>
      <c r="BO9" s="56">
        <f t="shared" si="45"/>
        <v>178047.6</v>
      </c>
      <c r="BP9" s="56">
        <f t="shared" si="46"/>
        <v>356095.2</v>
      </c>
      <c r="BQ9" s="1"/>
      <c r="BR9" s="54"/>
      <c r="BS9" s="1"/>
      <c r="BT9" s="1"/>
    </row>
    <row r="10" spans="1:72" s="44" customFormat="1" x14ac:dyDescent="0.2">
      <c r="A10" s="43">
        <v>25459</v>
      </c>
      <c r="B10" s="49" t="s">
        <v>124</v>
      </c>
      <c r="C10" s="45"/>
      <c r="D10" s="45"/>
      <c r="E10" s="46"/>
      <c r="F10" s="24">
        <v>2.5</v>
      </c>
      <c r="G10" s="45"/>
      <c r="H10" s="45"/>
      <c r="I10" s="17">
        <f t="shared" si="0"/>
        <v>3.18</v>
      </c>
      <c r="J10" s="21">
        <f t="shared" si="1"/>
        <v>3.7</v>
      </c>
      <c r="K10" s="21">
        <f t="shared" si="2"/>
        <v>4.37</v>
      </c>
      <c r="L10" s="21">
        <f t="shared" si="3"/>
        <v>6.36</v>
      </c>
      <c r="M10" s="21">
        <f t="shared" si="4"/>
        <v>7.95</v>
      </c>
      <c r="N10" s="21">
        <f t="shared" si="5"/>
        <v>9.5400000000000009</v>
      </c>
      <c r="O10" s="21">
        <f t="shared" si="6"/>
        <v>11.13</v>
      </c>
      <c r="P10" s="30">
        <f t="shared" si="7"/>
        <v>19.080000000000002</v>
      </c>
      <c r="Q10" s="30">
        <f t="shared" si="8"/>
        <v>21.465000000000003</v>
      </c>
      <c r="R10" s="30">
        <f t="shared" si="9"/>
        <v>22.657499999999999</v>
      </c>
      <c r="S10" s="30">
        <f t="shared" si="10"/>
        <v>22.259999999999998</v>
      </c>
      <c r="T10" s="30">
        <f t="shared" si="11"/>
        <v>23.85</v>
      </c>
      <c r="U10" s="35">
        <f t="shared" si="12"/>
        <v>31.8</v>
      </c>
      <c r="V10" s="30">
        <f t="shared" si="13"/>
        <v>63.6</v>
      </c>
      <c r="W10" s="21"/>
      <c r="X10" s="23">
        <f t="shared" si="14"/>
        <v>44520</v>
      </c>
      <c r="Y10" s="23">
        <f t="shared" si="15"/>
        <v>68688.000000000015</v>
      </c>
      <c r="Z10" s="23">
        <f t="shared" si="16"/>
        <v>76320.000000000015</v>
      </c>
      <c r="AA10" s="23">
        <f t="shared" si="17"/>
        <v>95400</v>
      </c>
      <c r="AB10" s="23">
        <f t="shared" si="18"/>
        <v>127200</v>
      </c>
      <c r="AC10" s="1"/>
      <c r="AD10" s="1"/>
      <c r="AE10" s="36">
        <f t="shared" si="19"/>
        <v>3.7800000000000002</v>
      </c>
      <c r="AF10" s="37">
        <f t="shared" si="20"/>
        <v>3670.38</v>
      </c>
      <c r="AG10" s="28">
        <f t="shared" si="21"/>
        <v>18526.68</v>
      </c>
      <c r="AH10" s="28">
        <f t="shared" si="22"/>
        <v>23158.350000000002</v>
      </c>
      <c r="AI10" s="28">
        <f t="shared" si="23"/>
        <v>30877.8</v>
      </c>
      <c r="AJ10" s="28">
        <f t="shared" si="24"/>
        <v>61755.6</v>
      </c>
      <c r="AK10" s="38"/>
      <c r="AL10" s="39">
        <v>-8.58</v>
      </c>
      <c r="AM10" s="40">
        <f t="shared" si="25"/>
        <v>-531.96</v>
      </c>
      <c r="AN10" s="28">
        <f t="shared" si="26"/>
        <v>1182.96</v>
      </c>
      <c r="AO10" s="28">
        <f t="shared" si="27"/>
        <v>1478.7</v>
      </c>
      <c r="AP10" s="28">
        <f t="shared" si="28"/>
        <v>1971.6000000000001</v>
      </c>
      <c r="AQ10" s="28">
        <f t="shared" si="29"/>
        <v>3943.2000000000003</v>
      </c>
      <c r="AR10" s="21"/>
      <c r="AS10" s="28">
        <f t="shared" si="30"/>
        <v>146.91600000000003</v>
      </c>
      <c r="AT10" s="28">
        <f t="shared" si="31"/>
        <v>183.64500000000001</v>
      </c>
      <c r="AU10" s="28">
        <f t="shared" si="32"/>
        <v>244.86</v>
      </c>
      <c r="AV10" s="28">
        <f t="shared" si="33"/>
        <v>489.72</v>
      </c>
      <c r="AW10" s="1"/>
      <c r="AX10" s="31">
        <f t="shared" si="34"/>
        <v>9540.0000000000018</v>
      </c>
      <c r="AY10" s="31">
        <f t="shared" si="35"/>
        <v>11925</v>
      </c>
      <c r="AZ10" s="31">
        <f t="shared" si="36"/>
        <v>15900</v>
      </c>
      <c r="BA10" s="31">
        <f t="shared" si="37"/>
        <v>31800</v>
      </c>
      <c r="BB10" s="1"/>
      <c r="BC10" s="1"/>
      <c r="BD10" s="55">
        <f t="shared" si="38"/>
        <v>82.282500000000013</v>
      </c>
      <c r="BE10" s="55">
        <f t="shared" si="39"/>
        <v>109.71000000000001</v>
      </c>
      <c r="BF10" s="55">
        <f t="shared" si="40"/>
        <v>219.42000000000002</v>
      </c>
      <c r="BG10" s="1"/>
      <c r="BH10" s="1"/>
      <c r="BI10" s="55">
        <f t="shared" si="41"/>
        <v>428.10750000000002</v>
      </c>
      <c r="BJ10" s="55">
        <f t="shared" si="42"/>
        <v>570.80999999999995</v>
      </c>
      <c r="BK10" s="55">
        <f t="shared" si="43"/>
        <v>1141.6199999999999</v>
      </c>
      <c r="BL10" s="1"/>
      <c r="BM10" s="1"/>
      <c r="BN10" s="56">
        <f t="shared" si="44"/>
        <v>153856.35</v>
      </c>
      <c r="BO10" s="56">
        <f t="shared" si="45"/>
        <v>205141.80000000002</v>
      </c>
      <c r="BP10" s="56">
        <f t="shared" si="46"/>
        <v>410283.60000000003</v>
      </c>
      <c r="BQ10" s="1"/>
      <c r="BR10" s="54"/>
      <c r="BS10" s="1"/>
      <c r="BT10" s="1"/>
    </row>
    <row r="11" spans="1:72" s="44" customFormat="1" x14ac:dyDescent="0.2">
      <c r="A11" s="43">
        <v>25466</v>
      </c>
      <c r="B11" s="48" t="s">
        <v>114</v>
      </c>
      <c r="C11" s="45"/>
      <c r="D11" s="45"/>
      <c r="E11" s="46"/>
      <c r="F11" s="24">
        <v>1.56</v>
      </c>
      <c r="G11" s="45"/>
      <c r="H11" s="45"/>
      <c r="I11" s="17">
        <f t="shared" si="0"/>
        <v>2.2400000000000002</v>
      </c>
      <c r="J11" s="21">
        <f t="shared" si="1"/>
        <v>2.76</v>
      </c>
      <c r="K11" s="21">
        <f t="shared" si="2"/>
        <v>3.43</v>
      </c>
      <c r="L11" s="21">
        <f t="shared" si="3"/>
        <v>4.4800000000000004</v>
      </c>
      <c r="M11" s="21">
        <f t="shared" si="4"/>
        <v>5.6000000000000005</v>
      </c>
      <c r="N11" s="21">
        <f t="shared" si="5"/>
        <v>6.7200000000000006</v>
      </c>
      <c r="O11" s="21">
        <f t="shared" si="6"/>
        <v>7.8400000000000007</v>
      </c>
      <c r="P11" s="30">
        <f t="shared" si="7"/>
        <v>13.440000000000001</v>
      </c>
      <c r="Q11" s="30">
        <f t="shared" si="8"/>
        <v>15.120000000000001</v>
      </c>
      <c r="R11" s="30">
        <f t="shared" si="9"/>
        <v>15.959999999999999</v>
      </c>
      <c r="S11" s="30">
        <f t="shared" si="10"/>
        <v>15.68</v>
      </c>
      <c r="T11" s="30">
        <f t="shared" si="11"/>
        <v>16.8</v>
      </c>
      <c r="U11" s="35">
        <f t="shared" si="12"/>
        <v>22.400000000000002</v>
      </c>
      <c r="V11" s="30">
        <f t="shared" si="13"/>
        <v>44.800000000000004</v>
      </c>
      <c r="W11" s="21"/>
      <c r="X11" s="23">
        <f t="shared" si="14"/>
        <v>31360.000000000004</v>
      </c>
      <c r="Y11" s="23">
        <f t="shared" si="15"/>
        <v>48384.000000000007</v>
      </c>
      <c r="Z11" s="23">
        <f t="shared" si="16"/>
        <v>53760.000000000007</v>
      </c>
      <c r="AA11" s="23">
        <f t="shared" si="17"/>
        <v>67200</v>
      </c>
      <c r="AB11" s="23">
        <f t="shared" si="18"/>
        <v>89600.000000000015</v>
      </c>
      <c r="AC11" s="1"/>
      <c r="AD11" s="1"/>
      <c r="AE11" s="36">
        <f t="shared" si="19"/>
        <v>2.8400000000000003</v>
      </c>
      <c r="AF11" s="37">
        <f t="shared" si="20"/>
        <v>2757.6400000000003</v>
      </c>
      <c r="AG11" s="28">
        <f t="shared" si="21"/>
        <v>13050.240000000002</v>
      </c>
      <c r="AH11" s="28">
        <f t="shared" si="22"/>
        <v>16312.800000000001</v>
      </c>
      <c r="AI11" s="28">
        <f t="shared" si="23"/>
        <v>21750.400000000001</v>
      </c>
      <c r="AJ11" s="28">
        <f t="shared" si="24"/>
        <v>43500.800000000003</v>
      </c>
      <c r="AK11" s="38"/>
      <c r="AL11" s="39">
        <v>-7.58</v>
      </c>
      <c r="AM11" s="40">
        <f t="shared" si="25"/>
        <v>-469.96</v>
      </c>
      <c r="AN11" s="28">
        <f t="shared" si="26"/>
        <v>833.28000000000009</v>
      </c>
      <c r="AO11" s="28">
        <f t="shared" si="27"/>
        <v>1041.6000000000001</v>
      </c>
      <c r="AP11" s="28">
        <f t="shared" si="28"/>
        <v>1388.8000000000002</v>
      </c>
      <c r="AQ11" s="28">
        <f t="shared" si="29"/>
        <v>2777.6000000000004</v>
      </c>
      <c r="AR11" s="21"/>
      <c r="AS11" s="28">
        <f t="shared" si="30"/>
        <v>103.48800000000001</v>
      </c>
      <c r="AT11" s="28">
        <f t="shared" si="31"/>
        <v>129.36000000000001</v>
      </c>
      <c r="AU11" s="28">
        <f t="shared" si="32"/>
        <v>172.48000000000002</v>
      </c>
      <c r="AV11" s="28">
        <f t="shared" si="33"/>
        <v>344.96000000000004</v>
      </c>
      <c r="AW11" s="1"/>
      <c r="AX11" s="31">
        <f t="shared" si="34"/>
        <v>6720.0000000000009</v>
      </c>
      <c r="AY11" s="31">
        <f t="shared" si="35"/>
        <v>8400</v>
      </c>
      <c r="AZ11" s="31">
        <f t="shared" si="36"/>
        <v>11200.000000000002</v>
      </c>
      <c r="BA11" s="31">
        <f t="shared" si="37"/>
        <v>22400.000000000004</v>
      </c>
      <c r="BB11" s="1"/>
      <c r="BC11" s="1"/>
      <c r="BD11" s="55">
        <f t="shared" si="38"/>
        <v>57.960000000000008</v>
      </c>
      <c r="BE11" s="55">
        <f t="shared" si="39"/>
        <v>77.280000000000015</v>
      </c>
      <c r="BF11" s="55">
        <f t="shared" si="40"/>
        <v>154.56000000000003</v>
      </c>
      <c r="BG11" s="1"/>
      <c r="BH11" s="1"/>
      <c r="BI11" s="55">
        <f t="shared" si="41"/>
        <v>301.56</v>
      </c>
      <c r="BJ11" s="55">
        <f t="shared" si="42"/>
        <v>402.08000000000004</v>
      </c>
      <c r="BK11" s="55">
        <f t="shared" si="43"/>
        <v>804.16000000000008</v>
      </c>
      <c r="BL11" s="1"/>
      <c r="BM11" s="1"/>
      <c r="BN11" s="56">
        <f t="shared" si="44"/>
        <v>108376.8</v>
      </c>
      <c r="BO11" s="56">
        <f t="shared" si="45"/>
        <v>144502.40000000002</v>
      </c>
      <c r="BP11" s="56">
        <f t="shared" si="46"/>
        <v>289004.80000000005</v>
      </c>
      <c r="BQ11" s="1"/>
      <c r="BR11" s="54"/>
      <c r="BS11" s="1"/>
      <c r="BT11" s="1"/>
    </row>
    <row r="12" spans="1:72" s="44" customFormat="1" x14ac:dyDescent="0.2">
      <c r="A12" s="43">
        <v>25473</v>
      </c>
      <c r="B12" s="48" t="s">
        <v>111</v>
      </c>
      <c r="C12" s="45"/>
      <c r="D12" s="45"/>
      <c r="E12" s="46"/>
      <c r="F12" s="24">
        <v>2.4900000000000002</v>
      </c>
      <c r="G12" s="45"/>
      <c r="H12" s="45"/>
      <c r="I12" s="17">
        <f t="shared" si="0"/>
        <v>3.1700000000000004</v>
      </c>
      <c r="J12" s="21">
        <f t="shared" si="1"/>
        <v>3.6900000000000004</v>
      </c>
      <c r="K12" s="21">
        <f t="shared" si="2"/>
        <v>4.3600000000000003</v>
      </c>
      <c r="L12" s="21">
        <f t="shared" si="3"/>
        <v>6.3400000000000007</v>
      </c>
      <c r="M12" s="21">
        <f t="shared" si="4"/>
        <v>7.9250000000000007</v>
      </c>
      <c r="N12" s="21">
        <f t="shared" si="5"/>
        <v>9.5100000000000016</v>
      </c>
      <c r="O12" s="21">
        <f t="shared" si="6"/>
        <v>11.095000000000001</v>
      </c>
      <c r="P12" s="30">
        <f t="shared" si="7"/>
        <v>19.020000000000003</v>
      </c>
      <c r="Q12" s="30">
        <f t="shared" si="8"/>
        <v>21.397500000000001</v>
      </c>
      <c r="R12" s="30">
        <f t="shared" si="9"/>
        <v>22.58625</v>
      </c>
      <c r="S12" s="30">
        <f t="shared" si="10"/>
        <v>22.19</v>
      </c>
      <c r="T12" s="30">
        <f t="shared" si="11"/>
        <v>23.775000000000002</v>
      </c>
      <c r="U12" s="35">
        <f t="shared" si="12"/>
        <v>31.700000000000003</v>
      </c>
      <c r="V12" s="30">
        <f t="shared" si="13"/>
        <v>63.400000000000006</v>
      </c>
      <c r="W12" s="21"/>
      <c r="X12" s="23">
        <f t="shared" si="14"/>
        <v>44380</v>
      </c>
      <c r="Y12" s="23">
        <f t="shared" si="15"/>
        <v>68472.000000000015</v>
      </c>
      <c r="Z12" s="23">
        <f t="shared" si="16"/>
        <v>76080.000000000015</v>
      </c>
      <c r="AA12" s="23">
        <f t="shared" si="17"/>
        <v>95100.000000000015</v>
      </c>
      <c r="AB12" s="23">
        <f t="shared" si="18"/>
        <v>126800.00000000001</v>
      </c>
      <c r="AC12" s="1"/>
      <c r="AD12" s="1"/>
      <c r="AE12" s="36">
        <f t="shared" si="19"/>
        <v>3.7700000000000005</v>
      </c>
      <c r="AF12" s="37">
        <f t="shared" si="20"/>
        <v>3660.6700000000005</v>
      </c>
      <c r="AG12" s="28">
        <f t="shared" si="21"/>
        <v>18468.420000000002</v>
      </c>
      <c r="AH12" s="28">
        <f t="shared" si="22"/>
        <v>23085.525000000001</v>
      </c>
      <c r="AI12" s="28">
        <f t="shared" si="23"/>
        <v>30780.700000000004</v>
      </c>
      <c r="AJ12" s="28">
        <f t="shared" si="24"/>
        <v>61561.400000000009</v>
      </c>
      <c r="AK12" s="38"/>
      <c r="AL12" s="39">
        <v>-6.58</v>
      </c>
      <c r="AM12" s="40">
        <f t="shared" si="25"/>
        <v>-407.96</v>
      </c>
      <c r="AN12" s="28">
        <f t="shared" si="26"/>
        <v>1179.2400000000002</v>
      </c>
      <c r="AO12" s="28">
        <f t="shared" si="27"/>
        <v>1474.0500000000002</v>
      </c>
      <c r="AP12" s="28">
        <f t="shared" si="28"/>
        <v>1965.4</v>
      </c>
      <c r="AQ12" s="28">
        <f t="shared" si="29"/>
        <v>3930.8</v>
      </c>
      <c r="AR12" s="21"/>
      <c r="AS12" s="28">
        <f t="shared" si="30"/>
        <v>146.45400000000004</v>
      </c>
      <c r="AT12" s="28">
        <f t="shared" si="31"/>
        <v>183.06750000000002</v>
      </c>
      <c r="AU12" s="28">
        <f t="shared" si="32"/>
        <v>244.09000000000003</v>
      </c>
      <c r="AV12" s="28">
        <f t="shared" si="33"/>
        <v>488.18000000000006</v>
      </c>
      <c r="AW12" s="1"/>
      <c r="AX12" s="31">
        <f t="shared" si="34"/>
        <v>9510.0000000000018</v>
      </c>
      <c r="AY12" s="31">
        <f t="shared" si="35"/>
        <v>11887.500000000002</v>
      </c>
      <c r="AZ12" s="31">
        <f t="shared" si="36"/>
        <v>15850.000000000002</v>
      </c>
      <c r="BA12" s="31">
        <f t="shared" si="37"/>
        <v>31700.000000000004</v>
      </c>
      <c r="BB12" s="1"/>
      <c r="BC12" s="1"/>
      <c r="BD12" s="55">
        <f t="shared" si="38"/>
        <v>82.023750000000007</v>
      </c>
      <c r="BE12" s="55">
        <f t="shared" si="39"/>
        <v>109.36500000000001</v>
      </c>
      <c r="BF12" s="55">
        <f t="shared" si="40"/>
        <v>218.73000000000002</v>
      </c>
      <c r="BG12" s="1"/>
      <c r="BH12" s="1"/>
      <c r="BI12" s="55">
        <f t="shared" si="41"/>
        <v>426.76125000000002</v>
      </c>
      <c r="BJ12" s="55">
        <f t="shared" si="42"/>
        <v>569.01499999999999</v>
      </c>
      <c r="BK12" s="55">
        <f t="shared" si="43"/>
        <v>1138.03</v>
      </c>
      <c r="BL12" s="1"/>
      <c r="BM12" s="1"/>
      <c r="BN12" s="56">
        <f t="shared" si="44"/>
        <v>153372.52500000002</v>
      </c>
      <c r="BO12" s="56">
        <f t="shared" si="45"/>
        <v>204496.7</v>
      </c>
      <c r="BP12" s="56">
        <f t="shared" si="46"/>
        <v>408993.4</v>
      </c>
      <c r="BQ12" s="1"/>
      <c r="BR12" s="54"/>
      <c r="BS12" s="1"/>
      <c r="BT12" s="1"/>
    </row>
    <row r="13" spans="1:72" s="44" customFormat="1" x14ac:dyDescent="0.2">
      <c r="A13" s="43">
        <v>25481</v>
      </c>
      <c r="B13" s="48" t="s">
        <v>110</v>
      </c>
      <c r="C13" s="45"/>
      <c r="D13" s="45"/>
      <c r="E13" s="46"/>
      <c r="F13" s="24">
        <v>2.5</v>
      </c>
      <c r="G13" s="45"/>
      <c r="H13" s="45"/>
      <c r="I13" s="17">
        <f t="shared" si="0"/>
        <v>3.18</v>
      </c>
      <c r="J13" s="21">
        <f t="shared" si="1"/>
        <v>3.7</v>
      </c>
      <c r="K13" s="21">
        <f t="shared" si="2"/>
        <v>4.37</v>
      </c>
      <c r="L13" s="21">
        <f t="shared" si="3"/>
        <v>6.36</v>
      </c>
      <c r="M13" s="21">
        <f t="shared" si="4"/>
        <v>7.95</v>
      </c>
      <c r="N13" s="21">
        <f t="shared" si="5"/>
        <v>9.5400000000000009</v>
      </c>
      <c r="O13" s="21">
        <f t="shared" si="6"/>
        <v>11.13</v>
      </c>
      <c r="P13" s="30">
        <f t="shared" si="7"/>
        <v>19.080000000000002</v>
      </c>
      <c r="Q13" s="30">
        <f t="shared" si="8"/>
        <v>21.465000000000003</v>
      </c>
      <c r="R13" s="30">
        <f t="shared" si="9"/>
        <v>22.657499999999999</v>
      </c>
      <c r="S13" s="30">
        <f t="shared" si="10"/>
        <v>22.259999999999998</v>
      </c>
      <c r="T13" s="30">
        <f t="shared" si="11"/>
        <v>23.85</v>
      </c>
      <c r="U13" s="35">
        <f t="shared" si="12"/>
        <v>31.8</v>
      </c>
      <c r="V13" s="30">
        <f t="shared" si="13"/>
        <v>63.6</v>
      </c>
      <c r="W13" s="21"/>
      <c r="X13" s="23">
        <f t="shared" si="14"/>
        <v>44520</v>
      </c>
      <c r="Y13" s="23">
        <f t="shared" si="15"/>
        <v>68688.000000000015</v>
      </c>
      <c r="Z13" s="23">
        <f t="shared" si="16"/>
        <v>76320.000000000015</v>
      </c>
      <c r="AA13" s="23">
        <f t="shared" si="17"/>
        <v>95400</v>
      </c>
      <c r="AB13" s="23">
        <f t="shared" si="18"/>
        <v>127200</v>
      </c>
      <c r="AC13" s="1"/>
      <c r="AD13" s="1"/>
      <c r="AE13" s="36">
        <f t="shared" si="19"/>
        <v>3.7800000000000002</v>
      </c>
      <c r="AF13" s="37">
        <f t="shared" si="20"/>
        <v>3670.38</v>
      </c>
      <c r="AG13" s="28">
        <f t="shared" si="21"/>
        <v>18526.68</v>
      </c>
      <c r="AH13" s="28">
        <f t="shared" si="22"/>
        <v>23158.350000000002</v>
      </c>
      <c r="AI13" s="28">
        <f t="shared" si="23"/>
        <v>30877.8</v>
      </c>
      <c r="AJ13" s="28">
        <f t="shared" si="24"/>
        <v>61755.6</v>
      </c>
      <c r="AK13" s="38"/>
      <c r="AL13" s="39">
        <v>-5.58</v>
      </c>
      <c r="AM13" s="40">
        <f t="shared" si="25"/>
        <v>-345.96</v>
      </c>
      <c r="AN13" s="28">
        <f t="shared" si="26"/>
        <v>1182.96</v>
      </c>
      <c r="AO13" s="28">
        <f t="shared" si="27"/>
        <v>1478.7</v>
      </c>
      <c r="AP13" s="28">
        <f t="shared" si="28"/>
        <v>1971.6000000000001</v>
      </c>
      <c r="AQ13" s="28">
        <f t="shared" si="29"/>
        <v>3943.2000000000003</v>
      </c>
      <c r="AR13" s="21"/>
      <c r="AS13" s="28">
        <f t="shared" si="30"/>
        <v>146.91600000000003</v>
      </c>
      <c r="AT13" s="28">
        <f t="shared" si="31"/>
        <v>183.64500000000001</v>
      </c>
      <c r="AU13" s="28">
        <f t="shared" si="32"/>
        <v>244.86</v>
      </c>
      <c r="AV13" s="28">
        <f t="shared" si="33"/>
        <v>489.72</v>
      </c>
      <c r="AW13" s="1"/>
      <c r="AX13" s="31">
        <f t="shared" si="34"/>
        <v>9540.0000000000018</v>
      </c>
      <c r="AY13" s="31">
        <f t="shared" si="35"/>
        <v>11925</v>
      </c>
      <c r="AZ13" s="31">
        <f t="shared" si="36"/>
        <v>15900</v>
      </c>
      <c r="BA13" s="31">
        <f t="shared" si="37"/>
        <v>31800</v>
      </c>
      <c r="BB13" s="1"/>
      <c r="BC13" s="1"/>
      <c r="BD13" s="55">
        <f t="shared" si="38"/>
        <v>82.282500000000013</v>
      </c>
      <c r="BE13" s="55">
        <f t="shared" si="39"/>
        <v>109.71000000000001</v>
      </c>
      <c r="BF13" s="55">
        <f t="shared" si="40"/>
        <v>219.42000000000002</v>
      </c>
      <c r="BG13" s="1"/>
      <c r="BH13" s="1"/>
      <c r="BI13" s="55">
        <f t="shared" si="41"/>
        <v>428.10750000000002</v>
      </c>
      <c r="BJ13" s="55">
        <f t="shared" si="42"/>
        <v>570.80999999999995</v>
      </c>
      <c r="BK13" s="55">
        <f t="shared" si="43"/>
        <v>1141.6199999999999</v>
      </c>
      <c r="BL13" s="1"/>
      <c r="BM13" s="1"/>
      <c r="BN13" s="56">
        <f t="shared" si="44"/>
        <v>153856.35</v>
      </c>
      <c r="BO13" s="56">
        <f t="shared" si="45"/>
        <v>205141.80000000002</v>
      </c>
      <c r="BP13" s="56">
        <f t="shared" si="46"/>
        <v>410283.60000000003</v>
      </c>
      <c r="BQ13" s="1"/>
      <c r="BR13" s="54"/>
      <c r="BS13" s="1"/>
      <c r="BT13" s="1"/>
    </row>
    <row r="14" spans="1:72" s="44" customFormat="1" x14ac:dyDescent="0.2">
      <c r="A14" s="43">
        <v>26062</v>
      </c>
      <c r="B14" s="48" t="s">
        <v>108</v>
      </c>
      <c r="C14" s="45"/>
      <c r="D14" s="45"/>
      <c r="E14" s="46"/>
      <c r="F14" s="24">
        <v>1.76</v>
      </c>
      <c r="G14" s="45"/>
      <c r="H14" s="45"/>
      <c r="I14" s="17">
        <f t="shared" si="0"/>
        <v>2.44</v>
      </c>
      <c r="J14" s="21">
        <f t="shared" si="1"/>
        <v>2.96</v>
      </c>
      <c r="K14" s="21">
        <f t="shared" si="2"/>
        <v>3.63</v>
      </c>
      <c r="L14" s="21">
        <f t="shared" si="3"/>
        <v>4.88</v>
      </c>
      <c r="M14" s="21">
        <f t="shared" si="4"/>
        <v>6.1</v>
      </c>
      <c r="N14" s="21">
        <f t="shared" si="5"/>
        <v>7.32</v>
      </c>
      <c r="O14" s="21">
        <f t="shared" si="6"/>
        <v>8.5399999999999991</v>
      </c>
      <c r="P14" s="30">
        <f t="shared" si="7"/>
        <v>14.639999999999999</v>
      </c>
      <c r="Q14" s="30">
        <f t="shared" si="8"/>
        <v>16.47</v>
      </c>
      <c r="R14" s="30">
        <f t="shared" si="9"/>
        <v>17.384999999999998</v>
      </c>
      <c r="S14" s="30">
        <f t="shared" si="10"/>
        <v>17.079999999999998</v>
      </c>
      <c r="T14" s="30">
        <f t="shared" si="11"/>
        <v>18.299999999999997</v>
      </c>
      <c r="U14" s="35">
        <f t="shared" si="12"/>
        <v>24.4</v>
      </c>
      <c r="V14" s="30">
        <f t="shared" si="13"/>
        <v>48.8</v>
      </c>
      <c r="W14" s="21"/>
      <c r="X14" s="23">
        <f t="shared" si="14"/>
        <v>34160</v>
      </c>
      <c r="Y14" s="23">
        <f t="shared" si="15"/>
        <v>52703.999999999993</v>
      </c>
      <c r="Z14" s="23">
        <f t="shared" si="16"/>
        <v>58559.999999999993</v>
      </c>
      <c r="AA14" s="23">
        <f t="shared" si="17"/>
        <v>73199.999999999985</v>
      </c>
      <c r="AB14" s="23">
        <f t="shared" si="18"/>
        <v>97600</v>
      </c>
      <c r="AC14" s="1"/>
      <c r="AD14" s="1"/>
      <c r="AE14" s="36">
        <f t="shared" si="19"/>
        <v>3.04</v>
      </c>
      <c r="AF14" s="37">
        <f t="shared" si="20"/>
        <v>2951.84</v>
      </c>
      <c r="AG14" s="28">
        <f t="shared" si="21"/>
        <v>14215.439999999999</v>
      </c>
      <c r="AH14" s="28">
        <f t="shared" si="22"/>
        <v>17769.299999999996</v>
      </c>
      <c r="AI14" s="28">
        <f t="shared" si="23"/>
        <v>23692.399999999998</v>
      </c>
      <c r="AJ14" s="28">
        <f t="shared" si="24"/>
        <v>47384.799999999996</v>
      </c>
      <c r="AK14" s="38"/>
      <c r="AL14" s="39">
        <v>-4.58</v>
      </c>
      <c r="AM14" s="40">
        <f t="shared" si="25"/>
        <v>-283.95999999999998</v>
      </c>
      <c r="AN14" s="28">
        <f t="shared" si="26"/>
        <v>907.68</v>
      </c>
      <c r="AO14" s="28">
        <f t="shared" si="27"/>
        <v>1134.5999999999999</v>
      </c>
      <c r="AP14" s="28">
        <f t="shared" si="28"/>
        <v>1512.8</v>
      </c>
      <c r="AQ14" s="28">
        <f t="shared" si="29"/>
        <v>3025.6</v>
      </c>
      <c r="AR14" s="21"/>
      <c r="AS14" s="28">
        <f t="shared" si="30"/>
        <v>112.72799999999999</v>
      </c>
      <c r="AT14" s="28">
        <f t="shared" si="31"/>
        <v>140.90999999999997</v>
      </c>
      <c r="AU14" s="28">
        <f t="shared" si="32"/>
        <v>187.88</v>
      </c>
      <c r="AV14" s="28">
        <f t="shared" si="33"/>
        <v>375.76</v>
      </c>
      <c r="AW14" s="1"/>
      <c r="AX14" s="31">
        <f t="shared" si="34"/>
        <v>7319.9999999999991</v>
      </c>
      <c r="AY14" s="31">
        <f t="shared" si="35"/>
        <v>9149.9999999999982</v>
      </c>
      <c r="AZ14" s="31">
        <f t="shared" si="36"/>
        <v>12200</v>
      </c>
      <c r="BA14" s="31">
        <f t="shared" si="37"/>
        <v>24400</v>
      </c>
      <c r="BB14" s="1"/>
      <c r="BC14" s="1"/>
      <c r="BD14" s="55">
        <f t="shared" si="38"/>
        <v>63.134999999999991</v>
      </c>
      <c r="BE14" s="55">
        <f t="shared" si="39"/>
        <v>84.179999999999993</v>
      </c>
      <c r="BF14" s="55">
        <f t="shared" si="40"/>
        <v>168.35999999999999</v>
      </c>
      <c r="BG14" s="1"/>
      <c r="BH14" s="1"/>
      <c r="BI14" s="55">
        <f t="shared" si="41"/>
        <v>328.48499999999996</v>
      </c>
      <c r="BJ14" s="55">
        <f t="shared" si="42"/>
        <v>437.97999999999996</v>
      </c>
      <c r="BK14" s="55">
        <f t="shared" si="43"/>
        <v>875.95999999999992</v>
      </c>
      <c r="BL14" s="1"/>
      <c r="BM14" s="1"/>
      <c r="BN14" s="56">
        <f t="shared" si="44"/>
        <v>118053.29999999999</v>
      </c>
      <c r="BO14" s="56">
        <f t="shared" si="45"/>
        <v>157404.4</v>
      </c>
      <c r="BP14" s="56">
        <f t="shared" si="46"/>
        <v>314808.8</v>
      </c>
      <c r="BQ14" s="1"/>
      <c r="BR14" s="54"/>
      <c r="BS14" s="1"/>
      <c r="BT14" s="1"/>
    </row>
    <row r="15" spans="1:72" s="44" customFormat="1" x14ac:dyDescent="0.2">
      <c r="A15" s="43">
        <v>26085</v>
      </c>
      <c r="B15" s="48" t="s">
        <v>118</v>
      </c>
      <c r="C15" s="45"/>
      <c r="D15" s="45"/>
      <c r="E15" s="46"/>
      <c r="F15" s="24">
        <v>2.4900000000000002</v>
      </c>
      <c r="G15" s="45"/>
      <c r="H15" s="45"/>
      <c r="I15" s="17">
        <f t="shared" si="0"/>
        <v>3.1700000000000004</v>
      </c>
      <c r="J15" s="21">
        <f t="shared" si="1"/>
        <v>3.6900000000000004</v>
      </c>
      <c r="K15" s="21">
        <f t="shared" si="2"/>
        <v>4.3600000000000003</v>
      </c>
      <c r="L15" s="21">
        <f t="shared" si="3"/>
        <v>6.3400000000000007</v>
      </c>
      <c r="M15" s="21">
        <f t="shared" si="4"/>
        <v>7.9250000000000007</v>
      </c>
      <c r="N15" s="21">
        <f t="shared" si="5"/>
        <v>9.5100000000000016</v>
      </c>
      <c r="O15" s="21">
        <f t="shared" si="6"/>
        <v>11.095000000000001</v>
      </c>
      <c r="P15" s="30">
        <f t="shared" si="7"/>
        <v>19.020000000000003</v>
      </c>
      <c r="Q15" s="30">
        <f t="shared" si="8"/>
        <v>21.397500000000001</v>
      </c>
      <c r="R15" s="30">
        <f t="shared" si="9"/>
        <v>22.58625</v>
      </c>
      <c r="S15" s="30">
        <f t="shared" si="10"/>
        <v>22.19</v>
      </c>
      <c r="T15" s="30">
        <f t="shared" si="11"/>
        <v>23.775000000000002</v>
      </c>
      <c r="U15" s="35">
        <f t="shared" si="12"/>
        <v>31.700000000000003</v>
      </c>
      <c r="V15" s="30">
        <f t="shared" si="13"/>
        <v>63.400000000000006</v>
      </c>
      <c r="W15" s="21"/>
      <c r="X15" s="23">
        <f t="shared" si="14"/>
        <v>44380</v>
      </c>
      <c r="Y15" s="23">
        <f t="shared" si="15"/>
        <v>68472.000000000015</v>
      </c>
      <c r="Z15" s="23">
        <f t="shared" si="16"/>
        <v>76080.000000000015</v>
      </c>
      <c r="AA15" s="23">
        <f t="shared" si="17"/>
        <v>95100.000000000015</v>
      </c>
      <c r="AB15" s="23">
        <f t="shared" si="18"/>
        <v>126800.00000000001</v>
      </c>
      <c r="AC15" s="1"/>
      <c r="AD15" s="1"/>
      <c r="AE15" s="36">
        <f t="shared" si="19"/>
        <v>3.7700000000000005</v>
      </c>
      <c r="AF15" s="37">
        <f t="shared" si="20"/>
        <v>3660.6700000000005</v>
      </c>
      <c r="AG15" s="28">
        <f t="shared" si="21"/>
        <v>18468.420000000002</v>
      </c>
      <c r="AH15" s="28">
        <f t="shared" si="22"/>
        <v>23085.525000000001</v>
      </c>
      <c r="AI15" s="28">
        <f t="shared" si="23"/>
        <v>30780.700000000004</v>
      </c>
      <c r="AJ15" s="28">
        <f t="shared" si="24"/>
        <v>61561.400000000009</v>
      </c>
      <c r="AK15" s="38"/>
      <c r="AL15" s="39">
        <v>-3.58</v>
      </c>
      <c r="AM15" s="40">
        <f t="shared" si="25"/>
        <v>-221.96</v>
      </c>
      <c r="AN15" s="28">
        <f t="shared" si="26"/>
        <v>1179.2400000000002</v>
      </c>
      <c r="AO15" s="28">
        <f t="shared" si="27"/>
        <v>1474.0500000000002</v>
      </c>
      <c r="AP15" s="28">
        <f t="shared" si="28"/>
        <v>1965.4</v>
      </c>
      <c r="AQ15" s="28">
        <f t="shared" si="29"/>
        <v>3930.8</v>
      </c>
      <c r="AR15" s="21"/>
      <c r="AS15" s="28">
        <f t="shared" si="30"/>
        <v>146.45400000000004</v>
      </c>
      <c r="AT15" s="28">
        <f t="shared" si="31"/>
        <v>183.06750000000002</v>
      </c>
      <c r="AU15" s="28">
        <f t="shared" si="32"/>
        <v>244.09000000000003</v>
      </c>
      <c r="AV15" s="28">
        <f t="shared" si="33"/>
        <v>488.18000000000006</v>
      </c>
      <c r="AW15" s="1"/>
      <c r="AX15" s="31">
        <f t="shared" si="34"/>
        <v>9510.0000000000018</v>
      </c>
      <c r="AY15" s="31">
        <f t="shared" si="35"/>
        <v>11887.500000000002</v>
      </c>
      <c r="AZ15" s="31">
        <f t="shared" si="36"/>
        <v>15850.000000000002</v>
      </c>
      <c r="BA15" s="31">
        <f t="shared" si="37"/>
        <v>31700.000000000004</v>
      </c>
      <c r="BB15" s="1"/>
      <c r="BC15" s="1"/>
      <c r="BD15" s="55">
        <f t="shared" si="38"/>
        <v>82.023750000000007</v>
      </c>
      <c r="BE15" s="55">
        <f t="shared" si="39"/>
        <v>109.36500000000001</v>
      </c>
      <c r="BF15" s="55">
        <f t="shared" si="40"/>
        <v>218.73000000000002</v>
      </c>
      <c r="BG15" s="1"/>
      <c r="BH15" s="1"/>
      <c r="BI15" s="55">
        <f t="shared" si="41"/>
        <v>426.76125000000002</v>
      </c>
      <c r="BJ15" s="55">
        <f t="shared" si="42"/>
        <v>569.01499999999999</v>
      </c>
      <c r="BK15" s="55">
        <f t="shared" si="43"/>
        <v>1138.03</v>
      </c>
      <c r="BL15" s="1"/>
      <c r="BM15" s="1"/>
      <c r="BN15" s="56">
        <f t="shared" si="44"/>
        <v>153372.52500000002</v>
      </c>
      <c r="BO15" s="56">
        <f t="shared" si="45"/>
        <v>204496.7</v>
      </c>
      <c r="BP15" s="56">
        <f t="shared" si="46"/>
        <v>408993.4</v>
      </c>
      <c r="BQ15" s="1"/>
      <c r="BR15" s="54"/>
      <c r="BS15" s="1"/>
      <c r="BT15" s="1"/>
    </row>
    <row r="16" spans="1:72" s="44" customFormat="1" x14ac:dyDescent="0.2">
      <c r="A16" s="43">
        <v>26787</v>
      </c>
      <c r="B16" s="48" t="s">
        <v>116</v>
      </c>
      <c r="C16" s="45"/>
      <c r="D16" s="45"/>
      <c r="E16" s="46"/>
      <c r="F16" s="24">
        <v>2.98</v>
      </c>
      <c r="G16" s="45"/>
      <c r="H16" s="45"/>
      <c r="I16" s="17">
        <f t="shared" si="0"/>
        <v>3.66</v>
      </c>
      <c r="J16" s="21">
        <f t="shared" si="1"/>
        <v>4.18</v>
      </c>
      <c r="K16" s="21">
        <f t="shared" si="2"/>
        <v>4.8499999999999996</v>
      </c>
      <c r="L16" s="21">
        <f t="shared" si="3"/>
        <v>7.32</v>
      </c>
      <c r="M16" s="21">
        <f t="shared" si="4"/>
        <v>9.15</v>
      </c>
      <c r="N16" s="21">
        <f t="shared" si="5"/>
        <v>10.98</v>
      </c>
      <c r="O16" s="21">
        <f t="shared" si="6"/>
        <v>12.81</v>
      </c>
      <c r="P16" s="30">
        <f t="shared" si="7"/>
        <v>21.960000000000004</v>
      </c>
      <c r="Q16" s="30">
        <f t="shared" si="8"/>
        <v>24.705000000000002</v>
      </c>
      <c r="R16" s="30">
        <f t="shared" si="9"/>
        <v>26.077500000000001</v>
      </c>
      <c r="S16" s="30">
        <f t="shared" si="10"/>
        <v>25.62</v>
      </c>
      <c r="T16" s="30">
        <f t="shared" si="11"/>
        <v>27.450000000000003</v>
      </c>
      <c r="U16" s="35">
        <f t="shared" si="12"/>
        <v>36.6</v>
      </c>
      <c r="V16" s="30">
        <f t="shared" si="13"/>
        <v>73.2</v>
      </c>
      <c r="W16" s="21"/>
      <c r="X16" s="23">
        <f t="shared" si="14"/>
        <v>51240</v>
      </c>
      <c r="Y16" s="23">
        <f t="shared" si="15"/>
        <v>79056.000000000015</v>
      </c>
      <c r="Z16" s="23">
        <f t="shared" si="16"/>
        <v>87840.000000000015</v>
      </c>
      <c r="AA16" s="23">
        <f t="shared" si="17"/>
        <v>109800.00000000001</v>
      </c>
      <c r="AB16" s="23">
        <f t="shared" si="18"/>
        <v>146400</v>
      </c>
      <c r="AC16" s="1"/>
      <c r="AD16" s="1"/>
      <c r="AE16" s="36">
        <f t="shared" si="19"/>
        <v>4.26</v>
      </c>
      <c r="AF16" s="37">
        <f t="shared" si="20"/>
        <v>4136.46</v>
      </c>
      <c r="AG16" s="28">
        <f t="shared" si="21"/>
        <v>21323.160000000003</v>
      </c>
      <c r="AH16" s="28">
        <f t="shared" si="22"/>
        <v>26653.950000000004</v>
      </c>
      <c r="AI16" s="28">
        <f t="shared" si="23"/>
        <v>35538.6</v>
      </c>
      <c r="AJ16" s="28">
        <f t="shared" si="24"/>
        <v>71077.2</v>
      </c>
      <c r="AK16" s="38"/>
      <c r="AL16" s="39">
        <v>-2.58</v>
      </c>
      <c r="AM16" s="40">
        <f t="shared" si="25"/>
        <v>-159.96</v>
      </c>
      <c r="AN16" s="28">
        <f t="shared" si="26"/>
        <v>1361.5200000000002</v>
      </c>
      <c r="AO16" s="28">
        <f t="shared" si="27"/>
        <v>1701.9</v>
      </c>
      <c r="AP16" s="28">
        <f t="shared" si="28"/>
        <v>2269.2000000000003</v>
      </c>
      <c r="AQ16" s="28">
        <f t="shared" si="29"/>
        <v>4538.4000000000005</v>
      </c>
      <c r="AR16" s="21"/>
      <c r="AS16" s="28">
        <f t="shared" si="30"/>
        <v>169.09200000000004</v>
      </c>
      <c r="AT16" s="28">
        <f t="shared" si="31"/>
        <v>211.36500000000004</v>
      </c>
      <c r="AU16" s="28">
        <f t="shared" si="32"/>
        <v>281.82</v>
      </c>
      <c r="AV16" s="28">
        <f t="shared" si="33"/>
        <v>563.64</v>
      </c>
      <c r="AW16" s="1"/>
      <c r="AX16" s="31">
        <f t="shared" si="34"/>
        <v>10980.000000000002</v>
      </c>
      <c r="AY16" s="31">
        <f t="shared" si="35"/>
        <v>13725.000000000002</v>
      </c>
      <c r="AZ16" s="31">
        <f t="shared" si="36"/>
        <v>18300</v>
      </c>
      <c r="BA16" s="31">
        <f t="shared" si="37"/>
        <v>36600</v>
      </c>
      <c r="BB16" s="1"/>
      <c r="BC16" s="1"/>
      <c r="BD16" s="55">
        <f t="shared" si="38"/>
        <v>94.702500000000015</v>
      </c>
      <c r="BE16" s="55">
        <f t="shared" si="39"/>
        <v>126.27000000000001</v>
      </c>
      <c r="BF16" s="55">
        <f t="shared" si="40"/>
        <v>252.54000000000002</v>
      </c>
      <c r="BG16" s="1"/>
      <c r="BH16" s="1"/>
      <c r="BI16" s="55">
        <f t="shared" si="41"/>
        <v>492.72750000000002</v>
      </c>
      <c r="BJ16" s="55">
        <f t="shared" si="42"/>
        <v>656.97</v>
      </c>
      <c r="BK16" s="55">
        <f t="shared" si="43"/>
        <v>1313.94</v>
      </c>
      <c r="BL16" s="1"/>
      <c r="BM16" s="1"/>
      <c r="BN16" s="56">
        <f t="shared" si="44"/>
        <v>177079.95</v>
      </c>
      <c r="BO16" s="56">
        <f t="shared" si="45"/>
        <v>236106.6</v>
      </c>
      <c r="BP16" s="56">
        <f t="shared" si="46"/>
        <v>472213.2</v>
      </c>
      <c r="BQ16" s="1"/>
      <c r="BR16" s="54"/>
      <c r="BS16" s="1"/>
      <c r="BT16" s="1"/>
    </row>
    <row r="17" spans="1:72" s="44" customFormat="1" x14ac:dyDescent="0.2">
      <c r="A17" s="43">
        <v>26900</v>
      </c>
      <c r="B17" s="48" t="s">
        <v>117</v>
      </c>
      <c r="C17" s="45"/>
      <c r="D17" s="45"/>
      <c r="E17" s="46"/>
      <c r="F17" s="24">
        <v>2.4900000000000002</v>
      </c>
      <c r="G17" s="45"/>
      <c r="H17" s="45"/>
      <c r="I17" s="17">
        <f t="shared" si="0"/>
        <v>3.1700000000000004</v>
      </c>
      <c r="J17" s="21">
        <f t="shared" si="1"/>
        <v>3.6900000000000004</v>
      </c>
      <c r="K17" s="21">
        <f t="shared" si="2"/>
        <v>4.3600000000000003</v>
      </c>
      <c r="L17" s="21">
        <f t="shared" si="3"/>
        <v>6.3400000000000007</v>
      </c>
      <c r="M17" s="21">
        <f t="shared" si="4"/>
        <v>7.9250000000000007</v>
      </c>
      <c r="N17" s="21">
        <f t="shared" si="5"/>
        <v>9.5100000000000016</v>
      </c>
      <c r="O17" s="21">
        <f t="shared" si="6"/>
        <v>11.095000000000001</v>
      </c>
      <c r="P17" s="30">
        <f t="shared" si="7"/>
        <v>19.020000000000003</v>
      </c>
      <c r="Q17" s="30">
        <f t="shared" si="8"/>
        <v>21.397500000000001</v>
      </c>
      <c r="R17" s="30">
        <f t="shared" si="9"/>
        <v>22.58625</v>
      </c>
      <c r="S17" s="30">
        <f t="shared" si="10"/>
        <v>22.19</v>
      </c>
      <c r="T17" s="30">
        <f t="shared" si="11"/>
        <v>23.775000000000002</v>
      </c>
      <c r="U17" s="35">
        <f t="shared" si="12"/>
        <v>31.700000000000003</v>
      </c>
      <c r="V17" s="30">
        <f t="shared" si="13"/>
        <v>63.400000000000006</v>
      </c>
      <c r="W17" s="21"/>
      <c r="X17" s="23">
        <f t="shared" si="14"/>
        <v>44380</v>
      </c>
      <c r="Y17" s="23">
        <f t="shared" si="15"/>
        <v>68472.000000000015</v>
      </c>
      <c r="Z17" s="23">
        <f t="shared" si="16"/>
        <v>76080.000000000015</v>
      </c>
      <c r="AA17" s="23">
        <f t="shared" si="17"/>
        <v>95100.000000000015</v>
      </c>
      <c r="AB17" s="23">
        <f t="shared" si="18"/>
        <v>126800.00000000001</v>
      </c>
      <c r="AC17" s="1"/>
      <c r="AD17" s="1"/>
      <c r="AE17" s="36">
        <f t="shared" si="19"/>
        <v>3.7700000000000005</v>
      </c>
      <c r="AF17" s="37">
        <f t="shared" si="20"/>
        <v>3660.6700000000005</v>
      </c>
      <c r="AG17" s="28">
        <f t="shared" si="21"/>
        <v>18468.420000000002</v>
      </c>
      <c r="AH17" s="28">
        <f t="shared" si="22"/>
        <v>23085.525000000001</v>
      </c>
      <c r="AI17" s="28">
        <f t="shared" si="23"/>
        <v>30780.700000000004</v>
      </c>
      <c r="AJ17" s="28">
        <f t="shared" si="24"/>
        <v>61561.400000000009</v>
      </c>
      <c r="AK17" s="38"/>
      <c r="AL17" s="39">
        <v>-1.58</v>
      </c>
      <c r="AM17" s="40">
        <f t="shared" si="25"/>
        <v>-97.960000000000008</v>
      </c>
      <c r="AN17" s="28">
        <f t="shared" si="26"/>
        <v>1179.2400000000002</v>
      </c>
      <c r="AO17" s="28">
        <f t="shared" si="27"/>
        <v>1474.0500000000002</v>
      </c>
      <c r="AP17" s="28">
        <f t="shared" si="28"/>
        <v>1965.4</v>
      </c>
      <c r="AQ17" s="28">
        <f t="shared" si="29"/>
        <v>3930.8</v>
      </c>
      <c r="AR17" s="21"/>
      <c r="AS17" s="28">
        <f t="shared" si="30"/>
        <v>146.45400000000004</v>
      </c>
      <c r="AT17" s="28">
        <f t="shared" si="31"/>
        <v>183.06750000000002</v>
      </c>
      <c r="AU17" s="28">
        <f t="shared" si="32"/>
        <v>244.09000000000003</v>
      </c>
      <c r="AV17" s="28">
        <f t="shared" si="33"/>
        <v>488.18000000000006</v>
      </c>
      <c r="AW17" s="1"/>
      <c r="AX17" s="31">
        <f t="shared" si="34"/>
        <v>9510.0000000000018</v>
      </c>
      <c r="AY17" s="31">
        <f t="shared" si="35"/>
        <v>11887.500000000002</v>
      </c>
      <c r="AZ17" s="31">
        <f t="shared" si="36"/>
        <v>15850.000000000002</v>
      </c>
      <c r="BA17" s="31">
        <f t="shared" si="37"/>
        <v>31700.000000000004</v>
      </c>
      <c r="BB17" s="1"/>
      <c r="BC17" s="1"/>
      <c r="BD17" s="55">
        <f t="shared" si="38"/>
        <v>82.023750000000007</v>
      </c>
      <c r="BE17" s="55">
        <f t="shared" si="39"/>
        <v>109.36500000000001</v>
      </c>
      <c r="BF17" s="55">
        <f t="shared" si="40"/>
        <v>218.73000000000002</v>
      </c>
      <c r="BG17" s="1"/>
      <c r="BH17" s="1"/>
      <c r="BI17" s="55">
        <f t="shared" si="41"/>
        <v>426.76125000000002</v>
      </c>
      <c r="BJ17" s="55">
        <f t="shared" si="42"/>
        <v>569.01499999999999</v>
      </c>
      <c r="BK17" s="55">
        <f t="shared" si="43"/>
        <v>1138.03</v>
      </c>
      <c r="BL17" s="1"/>
      <c r="BM17" s="1"/>
      <c r="BN17" s="56">
        <f t="shared" si="44"/>
        <v>153372.52500000002</v>
      </c>
      <c r="BO17" s="56">
        <f t="shared" si="45"/>
        <v>204496.7</v>
      </c>
      <c r="BP17" s="56">
        <f t="shared" si="46"/>
        <v>408993.4</v>
      </c>
      <c r="BQ17" s="1"/>
      <c r="BR17" s="54"/>
      <c r="BS17" s="1"/>
      <c r="BT17" s="1"/>
    </row>
    <row r="18" spans="1:72" s="44" customFormat="1" x14ac:dyDescent="0.2">
      <c r="A18" s="43">
        <v>26930</v>
      </c>
      <c r="B18" s="48" t="s">
        <v>115</v>
      </c>
      <c r="C18" s="45"/>
      <c r="D18" s="45"/>
      <c r="E18" s="46"/>
      <c r="F18" s="24">
        <v>1.56</v>
      </c>
      <c r="G18" s="45"/>
      <c r="H18" s="45"/>
      <c r="I18" s="17">
        <f t="shared" si="0"/>
        <v>2.2400000000000002</v>
      </c>
      <c r="J18" s="21">
        <f t="shared" si="1"/>
        <v>2.76</v>
      </c>
      <c r="K18" s="21">
        <f t="shared" si="2"/>
        <v>3.43</v>
      </c>
      <c r="L18" s="21">
        <f t="shared" si="3"/>
        <v>4.4800000000000004</v>
      </c>
      <c r="M18" s="21">
        <f t="shared" si="4"/>
        <v>5.6000000000000005</v>
      </c>
      <c r="N18" s="21">
        <f t="shared" si="5"/>
        <v>6.7200000000000006</v>
      </c>
      <c r="O18" s="21">
        <f t="shared" si="6"/>
        <v>7.8400000000000007</v>
      </c>
      <c r="P18" s="30">
        <f t="shared" si="7"/>
        <v>13.440000000000001</v>
      </c>
      <c r="Q18" s="30">
        <f t="shared" si="8"/>
        <v>15.120000000000001</v>
      </c>
      <c r="R18" s="30">
        <f t="shared" si="9"/>
        <v>15.959999999999999</v>
      </c>
      <c r="S18" s="30">
        <f t="shared" si="10"/>
        <v>15.68</v>
      </c>
      <c r="T18" s="30">
        <f t="shared" si="11"/>
        <v>16.8</v>
      </c>
      <c r="U18" s="35">
        <f t="shared" si="12"/>
        <v>22.400000000000002</v>
      </c>
      <c r="V18" s="30">
        <f t="shared" si="13"/>
        <v>44.800000000000004</v>
      </c>
      <c r="W18" s="21"/>
      <c r="X18" s="23">
        <f t="shared" si="14"/>
        <v>31360.000000000004</v>
      </c>
      <c r="Y18" s="23">
        <f t="shared" si="15"/>
        <v>48384.000000000007</v>
      </c>
      <c r="Z18" s="23">
        <f t="shared" si="16"/>
        <v>53760.000000000007</v>
      </c>
      <c r="AA18" s="23">
        <f t="shared" si="17"/>
        <v>67200</v>
      </c>
      <c r="AB18" s="23">
        <f t="shared" si="18"/>
        <v>89600.000000000015</v>
      </c>
      <c r="AC18" s="1"/>
      <c r="AD18" s="1"/>
      <c r="AE18" s="36">
        <f t="shared" si="19"/>
        <v>2.8400000000000003</v>
      </c>
      <c r="AF18" s="37">
        <f t="shared" si="20"/>
        <v>2757.6400000000003</v>
      </c>
      <c r="AG18" s="28">
        <f t="shared" si="21"/>
        <v>13050.240000000002</v>
      </c>
      <c r="AH18" s="28">
        <f t="shared" si="22"/>
        <v>16312.800000000001</v>
      </c>
      <c r="AI18" s="28">
        <f t="shared" si="23"/>
        <v>21750.400000000001</v>
      </c>
      <c r="AJ18" s="28">
        <f t="shared" si="24"/>
        <v>43500.800000000003</v>
      </c>
      <c r="AK18" s="38"/>
      <c r="AL18" s="39">
        <v>-0.57999999999999996</v>
      </c>
      <c r="AM18" s="40">
        <f t="shared" si="25"/>
        <v>-35.96</v>
      </c>
      <c r="AN18" s="28">
        <f t="shared" si="26"/>
        <v>833.28000000000009</v>
      </c>
      <c r="AO18" s="28">
        <f t="shared" si="27"/>
        <v>1041.6000000000001</v>
      </c>
      <c r="AP18" s="28">
        <f t="shared" si="28"/>
        <v>1388.8000000000002</v>
      </c>
      <c r="AQ18" s="28">
        <f t="shared" si="29"/>
        <v>2777.6000000000004</v>
      </c>
      <c r="AR18" s="21"/>
      <c r="AS18" s="28">
        <f t="shared" si="30"/>
        <v>103.48800000000001</v>
      </c>
      <c r="AT18" s="28">
        <f t="shared" si="31"/>
        <v>129.36000000000001</v>
      </c>
      <c r="AU18" s="28">
        <f t="shared" si="32"/>
        <v>172.48000000000002</v>
      </c>
      <c r="AV18" s="28">
        <f t="shared" si="33"/>
        <v>344.96000000000004</v>
      </c>
      <c r="AW18" s="1"/>
      <c r="AX18" s="31">
        <f t="shared" si="34"/>
        <v>6720.0000000000009</v>
      </c>
      <c r="AY18" s="31">
        <f t="shared" si="35"/>
        <v>8400</v>
      </c>
      <c r="AZ18" s="31">
        <f t="shared" si="36"/>
        <v>11200.000000000002</v>
      </c>
      <c r="BA18" s="31">
        <f t="shared" si="37"/>
        <v>22400.000000000004</v>
      </c>
      <c r="BB18" s="1"/>
      <c r="BC18" s="1"/>
      <c r="BD18" s="55">
        <f t="shared" si="38"/>
        <v>57.960000000000008</v>
      </c>
      <c r="BE18" s="55">
        <f t="shared" si="39"/>
        <v>77.280000000000015</v>
      </c>
      <c r="BF18" s="55">
        <f t="shared" si="40"/>
        <v>154.56000000000003</v>
      </c>
      <c r="BG18" s="1"/>
      <c r="BH18" s="1"/>
      <c r="BI18" s="55">
        <f t="shared" si="41"/>
        <v>301.56</v>
      </c>
      <c r="BJ18" s="55">
        <f t="shared" si="42"/>
        <v>402.08000000000004</v>
      </c>
      <c r="BK18" s="55">
        <f t="shared" si="43"/>
        <v>804.16000000000008</v>
      </c>
      <c r="BL18" s="1"/>
      <c r="BM18" s="1"/>
      <c r="BN18" s="56">
        <f t="shared" si="44"/>
        <v>108376.8</v>
      </c>
      <c r="BO18" s="56">
        <f t="shared" si="45"/>
        <v>144502.40000000002</v>
      </c>
      <c r="BP18" s="56">
        <f t="shared" si="46"/>
        <v>289004.80000000005</v>
      </c>
      <c r="BQ18" s="1"/>
      <c r="BR18" s="54"/>
      <c r="BS18" s="1"/>
      <c r="BT18" s="1"/>
    </row>
    <row r="19" spans="1:72" s="44" customFormat="1" x14ac:dyDescent="0.2">
      <c r="A19" s="43">
        <v>26941</v>
      </c>
      <c r="B19" s="48" t="s">
        <v>113</v>
      </c>
      <c r="C19" s="45"/>
      <c r="D19" s="45"/>
      <c r="E19" s="46"/>
      <c r="F19" s="24">
        <v>2.39</v>
      </c>
      <c r="G19" s="45"/>
      <c r="H19" s="45"/>
      <c r="I19" s="17">
        <f t="shared" si="0"/>
        <v>3.0700000000000003</v>
      </c>
      <c r="J19" s="21">
        <f t="shared" si="1"/>
        <v>3.59</v>
      </c>
      <c r="K19" s="21">
        <f t="shared" si="2"/>
        <v>4.26</v>
      </c>
      <c r="L19" s="21">
        <f t="shared" si="3"/>
        <v>6.1400000000000006</v>
      </c>
      <c r="M19" s="21">
        <f t="shared" si="4"/>
        <v>7.6750000000000007</v>
      </c>
      <c r="N19" s="21">
        <f t="shared" si="5"/>
        <v>9.2100000000000009</v>
      </c>
      <c r="O19" s="21">
        <f t="shared" si="6"/>
        <v>10.745000000000001</v>
      </c>
      <c r="P19" s="30">
        <f t="shared" si="7"/>
        <v>18.420000000000002</v>
      </c>
      <c r="Q19" s="30">
        <f t="shared" si="8"/>
        <v>20.722500000000004</v>
      </c>
      <c r="R19" s="30">
        <f t="shared" si="9"/>
        <v>21.873750000000001</v>
      </c>
      <c r="S19" s="30">
        <f t="shared" si="10"/>
        <v>21.490000000000002</v>
      </c>
      <c r="T19" s="30">
        <f t="shared" si="11"/>
        <v>23.025000000000002</v>
      </c>
      <c r="U19" s="35">
        <f t="shared" si="12"/>
        <v>30.700000000000003</v>
      </c>
      <c r="V19" s="30">
        <f t="shared" si="13"/>
        <v>61.400000000000006</v>
      </c>
      <c r="W19" s="21"/>
      <c r="X19" s="23">
        <f t="shared" si="14"/>
        <v>42980.000000000007</v>
      </c>
      <c r="Y19" s="23">
        <f t="shared" si="15"/>
        <v>66312</v>
      </c>
      <c r="Z19" s="23">
        <f t="shared" si="16"/>
        <v>73680</v>
      </c>
      <c r="AA19" s="23">
        <f t="shared" si="17"/>
        <v>92100.000000000015</v>
      </c>
      <c r="AB19" s="23">
        <f t="shared" si="18"/>
        <v>122800.00000000001</v>
      </c>
      <c r="AC19" s="1"/>
      <c r="AD19" s="1"/>
      <c r="AE19" s="36">
        <f t="shared" si="19"/>
        <v>3.6700000000000004</v>
      </c>
      <c r="AF19" s="37">
        <f t="shared" si="20"/>
        <v>3563.57</v>
      </c>
      <c r="AG19" s="28">
        <f t="shared" si="21"/>
        <v>17885.820000000003</v>
      </c>
      <c r="AH19" s="28">
        <f t="shared" si="22"/>
        <v>22357.275000000001</v>
      </c>
      <c r="AI19" s="28">
        <f t="shared" si="23"/>
        <v>29809.700000000004</v>
      </c>
      <c r="AJ19" s="28">
        <f t="shared" si="24"/>
        <v>59619.400000000009</v>
      </c>
      <c r="AK19" s="38"/>
      <c r="AL19" s="39">
        <v>0.42</v>
      </c>
      <c r="AM19" s="40">
        <f t="shared" si="25"/>
        <v>26.04</v>
      </c>
      <c r="AN19" s="28">
        <f t="shared" si="26"/>
        <v>1142.0400000000002</v>
      </c>
      <c r="AO19" s="28">
        <f t="shared" si="27"/>
        <v>1427.5500000000002</v>
      </c>
      <c r="AP19" s="28">
        <f t="shared" si="28"/>
        <v>1903.4</v>
      </c>
      <c r="AQ19" s="28">
        <f t="shared" si="29"/>
        <v>3806.8</v>
      </c>
      <c r="AR19" s="21"/>
      <c r="AS19" s="28">
        <f t="shared" si="30"/>
        <v>141.834</v>
      </c>
      <c r="AT19" s="28">
        <f t="shared" si="31"/>
        <v>177.29250000000002</v>
      </c>
      <c r="AU19" s="28">
        <f t="shared" si="32"/>
        <v>236.39000000000001</v>
      </c>
      <c r="AV19" s="28">
        <f t="shared" si="33"/>
        <v>472.78000000000003</v>
      </c>
      <c r="AW19" s="1"/>
      <c r="AX19" s="31">
        <f t="shared" si="34"/>
        <v>9210</v>
      </c>
      <c r="AY19" s="31">
        <f t="shared" si="35"/>
        <v>11512.500000000002</v>
      </c>
      <c r="AZ19" s="31">
        <f t="shared" si="36"/>
        <v>15350.000000000002</v>
      </c>
      <c r="BA19" s="31">
        <f t="shared" si="37"/>
        <v>30700.000000000004</v>
      </c>
      <c r="BB19" s="1"/>
      <c r="BC19" s="1"/>
      <c r="BD19" s="55">
        <f t="shared" si="38"/>
        <v>79.436250000000015</v>
      </c>
      <c r="BE19" s="55">
        <f t="shared" si="39"/>
        <v>105.91500000000002</v>
      </c>
      <c r="BF19" s="55">
        <f t="shared" si="40"/>
        <v>211.83000000000004</v>
      </c>
      <c r="BG19" s="1"/>
      <c r="BH19" s="1"/>
      <c r="BI19" s="55">
        <f t="shared" si="41"/>
        <v>413.29875000000004</v>
      </c>
      <c r="BJ19" s="55">
        <f t="shared" si="42"/>
        <v>551.06500000000005</v>
      </c>
      <c r="BK19" s="55">
        <f t="shared" si="43"/>
        <v>1102.1300000000001</v>
      </c>
      <c r="BL19" s="1"/>
      <c r="BM19" s="1"/>
      <c r="BN19" s="56">
        <f t="shared" si="44"/>
        <v>148534.27500000002</v>
      </c>
      <c r="BO19" s="56">
        <f t="shared" si="45"/>
        <v>198045.7</v>
      </c>
      <c r="BP19" s="56">
        <f t="shared" si="46"/>
        <v>396091.4</v>
      </c>
      <c r="BQ19" s="1"/>
      <c r="BR19" s="54"/>
      <c r="BS19" s="1"/>
      <c r="BT19" s="1"/>
    </row>
    <row r="20" spans="1:72" s="44" customFormat="1" x14ac:dyDescent="0.2">
      <c r="A20" s="43">
        <v>26947</v>
      </c>
      <c r="B20" s="48" t="s">
        <v>112</v>
      </c>
      <c r="C20" s="45"/>
      <c r="D20" s="45"/>
      <c r="E20" s="46"/>
      <c r="F20" s="24">
        <v>2.08</v>
      </c>
      <c r="G20" s="45"/>
      <c r="H20" s="45"/>
      <c r="I20" s="17">
        <f t="shared" si="0"/>
        <v>2.7600000000000002</v>
      </c>
      <c r="J20" s="21">
        <f t="shared" si="1"/>
        <v>3.2800000000000002</v>
      </c>
      <c r="K20" s="21">
        <f t="shared" si="2"/>
        <v>3.95</v>
      </c>
      <c r="L20" s="21">
        <f t="shared" si="3"/>
        <v>5.5200000000000005</v>
      </c>
      <c r="M20" s="21">
        <f t="shared" si="4"/>
        <v>6.9</v>
      </c>
      <c r="N20" s="21">
        <f t="shared" si="5"/>
        <v>8.2800000000000011</v>
      </c>
      <c r="O20" s="21">
        <f t="shared" si="6"/>
        <v>9.66</v>
      </c>
      <c r="P20" s="30">
        <f t="shared" si="7"/>
        <v>16.560000000000002</v>
      </c>
      <c r="Q20" s="30">
        <f t="shared" si="8"/>
        <v>18.630000000000003</v>
      </c>
      <c r="R20" s="30">
        <f t="shared" si="9"/>
        <v>19.665000000000003</v>
      </c>
      <c r="S20" s="30">
        <f t="shared" si="10"/>
        <v>19.32</v>
      </c>
      <c r="T20" s="30">
        <f t="shared" si="11"/>
        <v>20.700000000000003</v>
      </c>
      <c r="U20" s="35">
        <f t="shared" si="12"/>
        <v>27.6</v>
      </c>
      <c r="V20" s="30">
        <f t="shared" si="13"/>
        <v>55.2</v>
      </c>
      <c r="W20" s="21"/>
      <c r="X20" s="23">
        <f t="shared" si="14"/>
        <v>38640</v>
      </c>
      <c r="Y20" s="23">
        <f t="shared" si="15"/>
        <v>59616.000000000015</v>
      </c>
      <c r="Z20" s="23">
        <f t="shared" si="16"/>
        <v>66240.000000000015</v>
      </c>
      <c r="AA20" s="23">
        <f t="shared" si="17"/>
        <v>82800.000000000015</v>
      </c>
      <c r="AB20" s="23">
        <f t="shared" si="18"/>
        <v>110400</v>
      </c>
      <c r="AC20" s="1"/>
      <c r="AD20" s="1"/>
      <c r="AE20" s="36">
        <f t="shared" si="19"/>
        <v>3.3600000000000003</v>
      </c>
      <c r="AF20" s="37">
        <f t="shared" si="20"/>
        <v>3262.5600000000004</v>
      </c>
      <c r="AG20" s="28">
        <f t="shared" si="21"/>
        <v>16079.760000000002</v>
      </c>
      <c r="AH20" s="28">
        <f t="shared" si="22"/>
        <v>20099.700000000004</v>
      </c>
      <c r="AI20" s="28">
        <f t="shared" si="23"/>
        <v>26799.600000000002</v>
      </c>
      <c r="AJ20" s="28">
        <f t="shared" si="24"/>
        <v>53599.200000000004</v>
      </c>
      <c r="AK20" s="38"/>
      <c r="AL20" s="39">
        <v>1.42</v>
      </c>
      <c r="AM20" s="40">
        <f t="shared" si="25"/>
        <v>88.039999999999992</v>
      </c>
      <c r="AN20" s="28">
        <f t="shared" si="26"/>
        <v>1026.7200000000003</v>
      </c>
      <c r="AO20" s="28">
        <f t="shared" si="27"/>
        <v>1283.4000000000001</v>
      </c>
      <c r="AP20" s="28">
        <f t="shared" si="28"/>
        <v>1711.2</v>
      </c>
      <c r="AQ20" s="28">
        <f t="shared" si="29"/>
        <v>3422.4</v>
      </c>
      <c r="AR20" s="21"/>
      <c r="AS20" s="28">
        <f t="shared" si="30"/>
        <v>127.51200000000001</v>
      </c>
      <c r="AT20" s="28">
        <f t="shared" si="31"/>
        <v>159.39000000000001</v>
      </c>
      <c r="AU20" s="28">
        <f t="shared" si="32"/>
        <v>212.52</v>
      </c>
      <c r="AV20" s="28">
        <f t="shared" si="33"/>
        <v>425.04</v>
      </c>
      <c r="AW20" s="1"/>
      <c r="AX20" s="31">
        <f t="shared" si="34"/>
        <v>8280.0000000000018</v>
      </c>
      <c r="AY20" s="31">
        <f t="shared" si="35"/>
        <v>10350.000000000002</v>
      </c>
      <c r="AZ20" s="31">
        <f t="shared" si="36"/>
        <v>13800</v>
      </c>
      <c r="BA20" s="31">
        <f t="shared" si="37"/>
        <v>27600</v>
      </c>
      <c r="BB20" s="1"/>
      <c r="BC20" s="1"/>
      <c r="BD20" s="55">
        <f t="shared" si="38"/>
        <v>71.41500000000002</v>
      </c>
      <c r="BE20" s="55">
        <f t="shared" si="39"/>
        <v>95.220000000000013</v>
      </c>
      <c r="BF20" s="55">
        <f t="shared" si="40"/>
        <v>190.44000000000003</v>
      </c>
      <c r="BG20" s="1"/>
      <c r="BH20" s="1"/>
      <c r="BI20" s="55">
        <f t="shared" si="41"/>
        <v>371.56500000000005</v>
      </c>
      <c r="BJ20" s="55">
        <f t="shared" si="42"/>
        <v>495.42</v>
      </c>
      <c r="BK20" s="55">
        <f t="shared" si="43"/>
        <v>990.84</v>
      </c>
      <c r="BL20" s="1"/>
      <c r="BM20" s="1"/>
      <c r="BN20" s="56">
        <f t="shared" si="44"/>
        <v>133535.70000000001</v>
      </c>
      <c r="BO20" s="56">
        <f t="shared" si="45"/>
        <v>178047.6</v>
      </c>
      <c r="BP20" s="56">
        <f t="shared" si="46"/>
        <v>356095.2</v>
      </c>
      <c r="BQ20" s="1"/>
      <c r="BR20" s="54"/>
      <c r="BS20" s="1"/>
      <c r="BT20" s="1"/>
    </row>
    <row r="21" spans="1:72" s="44" customFormat="1" x14ac:dyDescent="0.2">
      <c r="A21" s="43">
        <v>26953</v>
      </c>
      <c r="B21" s="47" t="s">
        <v>109</v>
      </c>
      <c r="C21" s="45"/>
      <c r="D21" s="45"/>
      <c r="E21" s="46"/>
      <c r="F21" s="24">
        <v>2.08</v>
      </c>
      <c r="G21" s="45"/>
      <c r="H21" s="45"/>
      <c r="I21" s="17">
        <f t="shared" si="0"/>
        <v>2.7600000000000002</v>
      </c>
      <c r="J21" s="21">
        <f t="shared" si="1"/>
        <v>3.2800000000000002</v>
      </c>
      <c r="K21" s="21">
        <f t="shared" si="2"/>
        <v>3.95</v>
      </c>
      <c r="L21" s="21">
        <f t="shared" si="3"/>
        <v>5.5200000000000005</v>
      </c>
      <c r="M21" s="21">
        <f t="shared" si="4"/>
        <v>6.9</v>
      </c>
      <c r="N21" s="21">
        <f t="shared" si="5"/>
        <v>8.2800000000000011</v>
      </c>
      <c r="O21" s="21">
        <f t="shared" si="6"/>
        <v>9.66</v>
      </c>
      <c r="P21" s="30">
        <f t="shared" si="7"/>
        <v>16.560000000000002</v>
      </c>
      <c r="Q21" s="30">
        <f t="shared" si="8"/>
        <v>18.630000000000003</v>
      </c>
      <c r="R21" s="30">
        <f t="shared" si="9"/>
        <v>19.665000000000003</v>
      </c>
      <c r="S21" s="30">
        <f t="shared" si="10"/>
        <v>19.32</v>
      </c>
      <c r="T21" s="30">
        <f t="shared" si="11"/>
        <v>20.700000000000003</v>
      </c>
      <c r="U21" s="35">
        <f t="shared" si="12"/>
        <v>27.6</v>
      </c>
      <c r="V21" s="30">
        <f t="shared" si="13"/>
        <v>55.2</v>
      </c>
      <c r="W21" s="21"/>
      <c r="X21" s="23">
        <f t="shared" si="14"/>
        <v>38640</v>
      </c>
      <c r="Y21" s="23">
        <f t="shared" si="15"/>
        <v>59616.000000000015</v>
      </c>
      <c r="Z21" s="23">
        <f t="shared" si="16"/>
        <v>66240.000000000015</v>
      </c>
      <c r="AA21" s="23">
        <f t="shared" si="17"/>
        <v>82800.000000000015</v>
      </c>
      <c r="AB21" s="23">
        <f t="shared" si="18"/>
        <v>110400</v>
      </c>
      <c r="AC21" s="1"/>
      <c r="AD21" s="1"/>
      <c r="AE21" s="36">
        <f t="shared" si="19"/>
        <v>3.3600000000000003</v>
      </c>
      <c r="AF21" s="37">
        <f t="shared" si="20"/>
        <v>3262.5600000000004</v>
      </c>
      <c r="AG21" s="28">
        <f t="shared" si="21"/>
        <v>16079.760000000002</v>
      </c>
      <c r="AH21" s="28">
        <f t="shared" si="22"/>
        <v>20099.700000000004</v>
      </c>
      <c r="AI21" s="28">
        <f t="shared" si="23"/>
        <v>26799.600000000002</v>
      </c>
      <c r="AJ21" s="28">
        <f t="shared" si="24"/>
        <v>53599.200000000004</v>
      </c>
      <c r="AK21" s="38"/>
      <c r="AL21" s="39">
        <v>2.42</v>
      </c>
      <c r="AM21" s="40">
        <f t="shared" si="25"/>
        <v>150.04</v>
      </c>
      <c r="AN21" s="28">
        <f t="shared" si="26"/>
        <v>1026.7200000000003</v>
      </c>
      <c r="AO21" s="28">
        <f t="shared" si="27"/>
        <v>1283.4000000000001</v>
      </c>
      <c r="AP21" s="28">
        <f t="shared" si="28"/>
        <v>1711.2</v>
      </c>
      <c r="AQ21" s="28">
        <f t="shared" si="29"/>
        <v>3422.4</v>
      </c>
      <c r="AR21" s="21"/>
      <c r="AS21" s="28">
        <f t="shared" si="30"/>
        <v>127.51200000000001</v>
      </c>
      <c r="AT21" s="28">
        <f t="shared" si="31"/>
        <v>159.39000000000001</v>
      </c>
      <c r="AU21" s="28">
        <f t="shared" si="32"/>
        <v>212.52</v>
      </c>
      <c r="AV21" s="28">
        <f t="shared" si="33"/>
        <v>425.04</v>
      </c>
      <c r="AW21" s="1"/>
      <c r="AX21" s="31">
        <f t="shared" si="34"/>
        <v>8280.0000000000018</v>
      </c>
      <c r="AY21" s="31">
        <f t="shared" si="35"/>
        <v>10350.000000000002</v>
      </c>
      <c r="AZ21" s="31">
        <f t="shared" si="36"/>
        <v>13800</v>
      </c>
      <c r="BA21" s="31">
        <f t="shared" si="37"/>
        <v>27600</v>
      </c>
      <c r="BB21" s="1"/>
      <c r="BC21" s="1"/>
      <c r="BD21" s="55">
        <f t="shared" si="38"/>
        <v>71.41500000000002</v>
      </c>
      <c r="BE21" s="55">
        <f t="shared" si="39"/>
        <v>95.220000000000013</v>
      </c>
      <c r="BF21" s="55">
        <f t="shared" si="40"/>
        <v>190.44000000000003</v>
      </c>
      <c r="BG21" s="1"/>
      <c r="BH21" s="1"/>
      <c r="BI21" s="55">
        <f t="shared" si="41"/>
        <v>371.56500000000005</v>
      </c>
      <c r="BJ21" s="55">
        <f t="shared" si="42"/>
        <v>495.42</v>
      </c>
      <c r="BK21" s="55">
        <f t="shared" si="43"/>
        <v>990.84</v>
      </c>
      <c r="BL21" s="1"/>
      <c r="BM21" s="1"/>
      <c r="BN21" s="56">
        <f t="shared" si="44"/>
        <v>133535.70000000001</v>
      </c>
      <c r="BO21" s="56">
        <f t="shared" si="45"/>
        <v>178047.6</v>
      </c>
      <c r="BP21" s="56">
        <f t="shared" si="46"/>
        <v>356095.2</v>
      </c>
      <c r="BQ21" s="1"/>
      <c r="BR21" s="54"/>
      <c r="BS21" s="1"/>
      <c r="BT21" s="1"/>
    </row>
    <row r="22" spans="1:72" x14ac:dyDescent="0.2">
      <c r="A22" s="14">
        <v>41189</v>
      </c>
      <c r="B22" s="21" t="s">
        <v>63</v>
      </c>
      <c r="C22" s="17" t="s">
        <v>4</v>
      </c>
      <c r="D22" s="17" t="s">
        <v>10</v>
      </c>
      <c r="E22" s="18">
        <v>1.06</v>
      </c>
      <c r="F22" s="19">
        <v>2.14</v>
      </c>
      <c r="G22" s="20" t="s">
        <v>13</v>
      </c>
      <c r="H22" s="11">
        <v>50</v>
      </c>
      <c r="I22" s="17">
        <f>F22+0.68</f>
        <v>2.8200000000000003</v>
      </c>
      <c r="J22" s="21">
        <f>F22+1.2</f>
        <v>3.34</v>
      </c>
      <c r="K22" s="21">
        <f>F22+1.87</f>
        <v>4.01</v>
      </c>
      <c r="L22" s="21">
        <f t="shared" ref="L22:L95" si="47">I22*2</f>
        <v>5.6400000000000006</v>
      </c>
      <c r="M22" s="21">
        <f t="shared" ref="M22:M95" si="48">I22*2.5</f>
        <v>7.0500000000000007</v>
      </c>
      <c r="N22" s="21">
        <f t="shared" ref="N22:N95" si="49">I22*3</f>
        <v>8.4600000000000009</v>
      </c>
      <c r="O22" s="21">
        <f t="shared" ref="O22:O95" si="50">I22*3.5</f>
        <v>9.870000000000001</v>
      </c>
      <c r="P22" s="30">
        <f>T22*0.8</f>
        <v>16.920000000000002</v>
      </c>
      <c r="Q22" s="30">
        <f>T22*0.9</f>
        <v>19.035000000000004</v>
      </c>
      <c r="R22" s="30">
        <f>T22*0.95</f>
        <v>20.092500000000001</v>
      </c>
      <c r="S22" s="30">
        <f>U22*0.7</f>
        <v>19.740000000000002</v>
      </c>
      <c r="T22" s="30">
        <f>U22*0.75</f>
        <v>21.150000000000002</v>
      </c>
      <c r="U22" s="35">
        <f t="shared" ref="U22:U55" si="51">I22*10</f>
        <v>28.200000000000003</v>
      </c>
      <c r="V22" s="30">
        <f t="shared" ref="V22:V27" si="52">I22*20</f>
        <v>56.400000000000006</v>
      </c>
      <c r="W22" s="21"/>
      <c r="X22" s="23">
        <f t="shared" ref="X22:X95" si="53">O22*4000</f>
        <v>39480.000000000007</v>
      </c>
      <c r="Y22" s="23">
        <f>Z22*0.9</f>
        <v>60912</v>
      </c>
      <c r="Z22" s="23">
        <f t="shared" ref="Z22:Z95" si="54">P22*4000</f>
        <v>67680</v>
      </c>
      <c r="AA22" s="23">
        <f t="shared" ref="AA22:AB53" si="55">T22*4000</f>
        <v>84600.000000000015</v>
      </c>
      <c r="AB22" s="23">
        <f t="shared" si="55"/>
        <v>112800.00000000001</v>
      </c>
      <c r="AE22" s="36">
        <f t="shared" ref="AE22:AE95" si="56">I22+0.6</f>
        <v>3.4200000000000004</v>
      </c>
      <c r="AF22" s="37">
        <f>AE22*971</f>
        <v>3320.82</v>
      </c>
      <c r="AG22" s="28">
        <f t="shared" ref="AG22:AG95" si="57">P22*971</f>
        <v>16429.320000000003</v>
      </c>
      <c r="AH22" s="28">
        <f>T22*971</f>
        <v>20536.650000000001</v>
      </c>
      <c r="AI22" s="28">
        <f>U22*971</f>
        <v>27382.200000000004</v>
      </c>
      <c r="AJ22" s="28">
        <f>V22*971</f>
        <v>54764.400000000009</v>
      </c>
      <c r="AK22" s="38"/>
      <c r="AL22" s="39">
        <v>3.4200000000000004</v>
      </c>
      <c r="AM22" s="40">
        <f>AL22*62</f>
        <v>212.04000000000002</v>
      </c>
      <c r="AN22" s="28">
        <f t="shared" ref="AN22:AN95" si="58">P22*62</f>
        <v>1049.0400000000002</v>
      </c>
      <c r="AO22" s="28">
        <f>T22*62</f>
        <v>1311.3000000000002</v>
      </c>
      <c r="AP22" s="28">
        <f>U22*62</f>
        <v>1748.4</v>
      </c>
      <c r="AQ22" s="28">
        <f>V22*62</f>
        <v>3496.8</v>
      </c>
      <c r="AR22" s="21"/>
      <c r="AS22" s="28">
        <f t="shared" ref="AS22:AS95" si="59">P22*7.7</f>
        <v>130.28400000000002</v>
      </c>
      <c r="AT22" s="28">
        <f>T22*7.7</f>
        <v>162.85500000000002</v>
      </c>
      <c r="AU22" s="28">
        <f>U22*7.7</f>
        <v>217.14000000000001</v>
      </c>
      <c r="AV22" s="28">
        <f>V22*7.7</f>
        <v>434.28000000000003</v>
      </c>
      <c r="AX22" s="31">
        <f t="shared" ref="AX22:AX95" si="60">P22*500</f>
        <v>8460</v>
      </c>
      <c r="AY22" s="31">
        <f>T22*500</f>
        <v>10575.000000000002</v>
      </c>
      <c r="AZ22" s="31">
        <f>U22*500</f>
        <v>14100.000000000002</v>
      </c>
      <c r="BA22" s="31">
        <f>V22*500</f>
        <v>28200.000000000004</v>
      </c>
      <c r="BD22" s="55">
        <f t="shared" si="38"/>
        <v>72.967500000000015</v>
      </c>
      <c r="BE22" s="55">
        <f t="shared" si="39"/>
        <v>97.29000000000002</v>
      </c>
      <c r="BF22" s="55">
        <f t="shared" si="40"/>
        <v>194.58000000000004</v>
      </c>
      <c r="BI22" s="55">
        <f t="shared" si="41"/>
        <v>379.64250000000004</v>
      </c>
      <c r="BJ22" s="55">
        <f t="shared" si="42"/>
        <v>506.19000000000005</v>
      </c>
      <c r="BK22" s="55">
        <f t="shared" si="43"/>
        <v>1012.3800000000001</v>
      </c>
      <c r="BN22" s="56">
        <f t="shared" si="44"/>
        <v>136438.65000000002</v>
      </c>
      <c r="BO22" s="56">
        <f t="shared" si="45"/>
        <v>181918.2</v>
      </c>
      <c r="BP22" s="56">
        <f t="shared" si="46"/>
        <v>363836.4</v>
      </c>
      <c r="BR22" s="54"/>
    </row>
    <row r="23" spans="1:72" x14ac:dyDescent="0.2">
      <c r="A23" s="14">
        <v>41200</v>
      </c>
      <c r="B23" s="21" t="s">
        <v>64</v>
      </c>
      <c r="C23" s="17" t="s">
        <v>8</v>
      </c>
      <c r="D23" s="17" t="s">
        <v>10</v>
      </c>
      <c r="E23" s="18">
        <v>1.2</v>
      </c>
      <c r="F23" s="19">
        <v>2.67</v>
      </c>
      <c r="G23" s="20" t="s">
        <v>13</v>
      </c>
      <c r="H23" s="11">
        <v>50</v>
      </c>
      <c r="I23" s="17">
        <f t="shared" ref="I23:I97" si="61">F23+0.68</f>
        <v>3.35</v>
      </c>
      <c r="J23" s="21">
        <f t="shared" ref="J23:J96" si="62">F23+1.2</f>
        <v>3.87</v>
      </c>
      <c r="K23" s="21">
        <f t="shared" ref="K23:K96" si="63">F23+1.87</f>
        <v>4.54</v>
      </c>
      <c r="L23" s="22">
        <f t="shared" si="47"/>
        <v>6.7</v>
      </c>
      <c r="M23" s="22">
        <f t="shared" si="48"/>
        <v>8.375</v>
      </c>
      <c r="N23" s="21">
        <f t="shared" si="49"/>
        <v>10.050000000000001</v>
      </c>
      <c r="O23" s="22">
        <f t="shared" si="50"/>
        <v>11.725</v>
      </c>
      <c r="P23" s="30">
        <f t="shared" ref="P23:P97" si="64">T23*0.8</f>
        <v>20.100000000000001</v>
      </c>
      <c r="Q23" s="30">
        <f t="shared" ref="Q23:Q96" si="65">T23*0.9</f>
        <v>22.612500000000001</v>
      </c>
      <c r="R23" s="30">
        <f t="shared" ref="R23:R96" si="66">T23*0.95</f>
        <v>23.868749999999999</v>
      </c>
      <c r="S23" s="30">
        <f t="shared" ref="S23:S96" si="67">U23*0.7</f>
        <v>23.45</v>
      </c>
      <c r="T23" s="30">
        <f t="shared" ref="T23:T97" si="68">U23*0.75</f>
        <v>25.125</v>
      </c>
      <c r="U23" s="17">
        <f t="shared" si="51"/>
        <v>33.5</v>
      </c>
      <c r="V23" s="30">
        <f t="shared" si="52"/>
        <v>67</v>
      </c>
      <c r="W23" s="21"/>
      <c r="X23" s="23">
        <f t="shared" si="53"/>
        <v>46900</v>
      </c>
      <c r="Y23" s="23">
        <f t="shared" ref="Y23:Y35" si="69">Z23*0.9</f>
        <v>72360</v>
      </c>
      <c r="Z23" s="23">
        <f t="shared" si="54"/>
        <v>80400</v>
      </c>
      <c r="AA23" s="23">
        <f t="shared" si="55"/>
        <v>100500</v>
      </c>
      <c r="AB23" s="23">
        <f t="shared" si="55"/>
        <v>134000</v>
      </c>
      <c r="AE23" s="36">
        <f t="shared" si="56"/>
        <v>3.95</v>
      </c>
      <c r="AF23" s="37">
        <f t="shared" ref="AF23:AF96" si="70">AE23*971</f>
        <v>3835.4500000000003</v>
      </c>
      <c r="AG23" s="28">
        <f t="shared" si="57"/>
        <v>19517.100000000002</v>
      </c>
      <c r="AH23" s="28">
        <f t="shared" ref="AH23:AJ97" si="71">T23*971</f>
        <v>24396.375</v>
      </c>
      <c r="AI23" s="28">
        <f t="shared" si="71"/>
        <v>32528.5</v>
      </c>
      <c r="AJ23" s="28">
        <f t="shared" si="71"/>
        <v>65057</v>
      </c>
      <c r="AK23" s="38"/>
      <c r="AL23" s="39">
        <v>3.95</v>
      </c>
      <c r="AM23" s="40">
        <f t="shared" ref="AM23:AM96" si="72">AL23*62</f>
        <v>244.9</v>
      </c>
      <c r="AN23" s="28">
        <f t="shared" si="58"/>
        <v>1246.2</v>
      </c>
      <c r="AO23" s="28">
        <f t="shared" ref="AO23:AQ97" si="73">T23*62</f>
        <v>1557.75</v>
      </c>
      <c r="AP23" s="28">
        <f t="shared" si="73"/>
        <v>2077</v>
      </c>
      <c r="AQ23" s="28">
        <f t="shared" si="73"/>
        <v>4154</v>
      </c>
      <c r="AS23" s="28">
        <f t="shared" si="59"/>
        <v>154.77000000000001</v>
      </c>
      <c r="AT23" s="28">
        <f t="shared" ref="AT23:AV97" si="74">T23*7.7</f>
        <v>193.46250000000001</v>
      </c>
      <c r="AU23" s="28">
        <f t="shared" si="74"/>
        <v>257.95</v>
      </c>
      <c r="AV23" s="28">
        <f t="shared" si="74"/>
        <v>515.9</v>
      </c>
      <c r="AX23" s="31">
        <f t="shared" si="60"/>
        <v>10050</v>
      </c>
      <c r="AY23" s="31">
        <f t="shared" ref="AY23:BA97" si="75">T23*500</f>
        <v>12562.5</v>
      </c>
      <c r="AZ23" s="31">
        <f t="shared" si="75"/>
        <v>16750</v>
      </c>
      <c r="BA23" s="31">
        <f t="shared" si="75"/>
        <v>33500</v>
      </c>
      <c r="BD23" s="55">
        <f t="shared" si="38"/>
        <v>86.681250000000006</v>
      </c>
      <c r="BE23" s="55">
        <f t="shared" si="39"/>
        <v>115.575</v>
      </c>
      <c r="BF23" s="55">
        <f t="shared" si="40"/>
        <v>231.15</v>
      </c>
      <c r="BI23" s="55">
        <f t="shared" si="41"/>
        <v>450.99374999999998</v>
      </c>
      <c r="BJ23" s="55">
        <f t="shared" si="42"/>
        <v>601.32499999999993</v>
      </c>
      <c r="BK23" s="55">
        <f t="shared" si="43"/>
        <v>1202.6499999999999</v>
      </c>
      <c r="BN23" s="56">
        <f t="shared" si="44"/>
        <v>162081.375</v>
      </c>
      <c r="BO23" s="56">
        <f t="shared" si="45"/>
        <v>216108.5</v>
      </c>
      <c r="BP23" s="56">
        <f t="shared" si="46"/>
        <v>432217</v>
      </c>
      <c r="BR23" s="54"/>
    </row>
    <row r="24" spans="1:72" x14ac:dyDescent="0.2">
      <c r="A24" s="14">
        <v>41220</v>
      </c>
      <c r="B24" s="21" t="s">
        <v>65</v>
      </c>
      <c r="C24" s="17" t="s">
        <v>9</v>
      </c>
      <c r="D24" s="17" t="s">
        <v>10</v>
      </c>
      <c r="E24" s="18">
        <v>1.54</v>
      </c>
      <c r="F24" s="19">
        <v>4.01</v>
      </c>
      <c r="G24" s="20" t="s">
        <v>13</v>
      </c>
      <c r="H24" s="11">
        <v>50</v>
      </c>
      <c r="I24" s="17">
        <f t="shared" si="61"/>
        <v>4.6899999999999995</v>
      </c>
      <c r="J24" s="21">
        <f t="shared" si="62"/>
        <v>5.21</v>
      </c>
      <c r="K24" s="21">
        <f t="shared" si="63"/>
        <v>5.88</v>
      </c>
      <c r="L24" s="21">
        <f t="shared" si="47"/>
        <v>9.379999999999999</v>
      </c>
      <c r="M24" s="22">
        <f t="shared" si="48"/>
        <v>11.724999999999998</v>
      </c>
      <c r="N24" s="21">
        <f t="shared" si="49"/>
        <v>14.069999999999999</v>
      </c>
      <c r="O24" s="22">
        <f t="shared" si="50"/>
        <v>16.414999999999999</v>
      </c>
      <c r="P24" s="30">
        <f t="shared" si="64"/>
        <v>28.14</v>
      </c>
      <c r="Q24" s="30">
        <f t="shared" si="65"/>
        <v>31.657499999999999</v>
      </c>
      <c r="R24" s="30">
        <f t="shared" si="66"/>
        <v>33.416249999999998</v>
      </c>
      <c r="S24" s="30">
        <f t="shared" si="67"/>
        <v>32.829999999999991</v>
      </c>
      <c r="T24" s="30">
        <f t="shared" si="68"/>
        <v>35.174999999999997</v>
      </c>
      <c r="U24" s="17">
        <f t="shared" si="51"/>
        <v>46.899999999999991</v>
      </c>
      <c r="V24" s="30">
        <f t="shared" si="52"/>
        <v>93.799999999999983</v>
      </c>
      <c r="W24" s="21"/>
      <c r="X24" s="23">
        <f t="shared" si="53"/>
        <v>65660</v>
      </c>
      <c r="Y24" s="23">
        <f t="shared" si="69"/>
        <v>101304</v>
      </c>
      <c r="Z24" s="23">
        <f t="shared" si="54"/>
        <v>112560</v>
      </c>
      <c r="AA24" s="23">
        <f t="shared" si="55"/>
        <v>140700</v>
      </c>
      <c r="AB24" s="23">
        <f t="shared" si="55"/>
        <v>187599.99999999997</v>
      </c>
      <c r="AE24" s="36">
        <f t="shared" si="56"/>
        <v>5.2899999999999991</v>
      </c>
      <c r="AF24" s="37">
        <f t="shared" si="70"/>
        <v>5136.5899999999992</v>
      </c>
      <c r="AG24" s="28">
        <f t="shared" si="57"/>
        <v>27323.940000000002</v>
      </c>
      <c r="AH24" s="28">
        <f t="shared" si="71"/>
        <v>34154.924999999996</v>
      </c>
      <c r="AI24" s="28">
        <f t="shared" si="71"/>
        <v>45539.899999999994</v>
      </c>
      <c r="AJ24" s="28">
        <f t="shared" si="71"/>
        <v>91079.799999999988</v>
      </c>
      <c r="AK24" s="38"/>
      <c r="AL24" s="39">
        <v>5.2899999999999991</v>
      </c>
      <c r="AM24" s="40">
        <f t="shared" si="72"/>
        <v>327.97999999999996</v>
      </c>
      <c r="AN24" s="28">
        <f t="shared" si="58"/>
        <v>1744.68</v>
      </c>
      <c r="AO24" s="28">
        <f t="shared" si="73"/>
        <v>2180.85</v>
      </c>
      <c r="AP24" s="28">
        <f t="shared" si="73"/>
        <v>2907.7999999999993</v>
      </c>
      <c r="AQ24" s="28">
        <f t="shared" si="73"/>
        <v>5815.5999999999985</v>
      </c>
      <c r="AS24" s="28">
        <f t="shared" si="59"/>
        <v>216.678</v>
      </c>
      <c r="AT24" s="28">
        <f t="shared" si="74"/>
        <v>270.84749999999997</v>
      </c>
      <c r="AU24" s="28">
        <f t="shared" si="74"/>
        <v>361.12999999999994</v>
      </c>
      <c r="AV24" s="28">
        <f t="shared" si="74"/>
        <v>722.25999999999988</v>
      </c>
      <c r="AX24" s="31">
        <f t="shared" si="60"/>
        <v>14070</v>
      </c>
      <c r="AY24" s="31">
        <f t="shared" si="75"/>
        <v>17587.5</v>
      </c>
      <c r="AZ24" s="31">
        <f t="shared" si="75"/>
        <v>23449.999999999996</v>
      </c>
      <c r="BA24" s="31">
        <f t="shared" si="75"/>
        <v>46899.999999999993</v>
      </c>
      <c r="BD24" s="55">
        <f t="shared" si="38"/>
        <v>121.35374999999999</v>
      </c>
      <c r="BE24" s="55">
        <f t="shared" si="39"/>
        <v>161.80499999999998</v>
      </c>
      <c r="BF24" s="55">
        <f t="shared" si="40"/>
        <v>323.60999999999996</v>
      </c>
      <c r="BI24" s="55">
        <f t="shared" si="41"/>
        <v>631.3912499999999</v>
      </c>
      <c r="BJ24" s="55">
        <f t="shared" si="42"/>
        <v>841.85499999999979</v>
      </c>
      <c r="BK24" s="55">
        <f t="shared" si="43"/>
        <v>1683.7099999999996</v>
      </c>
      <c r="BN24" s="56">
        <f t="shared" si="44"/>
        <v>226913.92499999999</v>
      </c>
      <c r="BO24" s="56">
        <f t="shared" si="45"/>
        <v>302551.89999999997</v>
      </c>
      <c r="BP24" s="56">
        <f t="shared" si="46"/>
        <v>605103.79999999993</v>
      </c>
      <c r="BR24" s="54"/>
    </row>
    <row r="25" spans="1:72" x14ac:dyDescent="0.2">
      <c r="A25" s="14">
        <v>42287</v>
      </c>
      <c r="B25" s="21" t="s">
        <v>66</v>
      </c>
      <c r="C25" s="17" t="s">
        <v>4</v>
      </c>
      <c r="D25" s="17" t="s">
        <v>10</v>
      </c>
      <c r="E25" s="18">
        <v>1.06</v>
      </c>
      <c r="F25" s="24">
        <v>2.14</v>
      </c>
      <c r="G25" s="20" t="s">
        <v>6</v>
      </c>
      <c r="H25" s="11">
        <v>50</v>
      </c>
      <c r="I25" s="17">
        <f t="shared" si="61"/>
        <v>2.8200000000000003</v>
      </c>
      <c r="J25" s="21">
        <f t="shared" si="62"/>
        <v>3.34</v>
      </c>
      <c r="K25" s="21">
        <f t="shared" si="63"/>
        <v>4.01</v>
      </c>
      <c r="L25" s="21">
        <f t="shared" si="47"/>
        <v>5.6400000000000006</v>
      </c>
      <c r="M25" s="22">
        <f t="shared" si="48"/>
        <v>7.0500000000000007</v>
      </c>
      <c r="N25" s="21">
        <f t="shared" si="49"/>
        <v>8.4600000000000009</v>
      </c>
      <c r="O25" s="22">
        <f t="shared" si="50"/>
        <v>9.870000000000001</v>
      </c>
      <c r="P25" s="30">
        <f t="shared" si="64"/>
        <v>16.920000000000002</v>
      </c>
      <c r="Q25" s="30">
        <f t="shared" si="65"/>
        <v>19.035000000000004</v>
      </c>
      <c r="R25" s="30">
        <f t="shared" si="66"/>
        <v>20.092500000000001</v>
      </c>
      <c r="S25" s="30">
        <f t="shared" si="67"/>
        <v>19.740000000000002</v>
      </c>
      <c r="T25" s="30">
        <f t="shared" si="68"/>
        <v>21.150000000000002</v>
      </c>
      <c r="U25" s="17">
        <f t="shared" si="51"/>
        <v>28.200000000000003</v>
      </c>
      <c r="V25" s="30">
        <f t="shared" si="52"/>
        <v>56.400000000000006</v>
      </c>
      <c r="W25" s="21"/>
      <c r="X25" s="23">
        <f t="shared" si="53"/>
        <v>39480.000000000007</v>
      </c>
      <c r="Y25" s="23">
        <f t="shared" si="69"/>
        <v>60912</v>
      </c>
      <c r="Z25" s="23">
        <f t="shared" si="54"/>
        <v>67680</v>
      </c>
      <c r="AA25" s="23">
        <f t="shared" si="55"/>
        <v>84600.000000000015</v>
      </c>
      <c r="AB25" s="23">
        <f t="shared" si="55"/>
        <v>112800.00000000001</v>
      </c>
      <c r="AE25" s="36">
        <f t="shared" si="56"/>
        <v>3.4200000000000004</v>
      </c>
      <c r="AF25" s="37">
        <f t="shared" si="70"/>
        <v>3320.82</v>
      </c>
      <c r="AG25" s="28">
        <f t="shared" si="57"/>
        <v>16429.320000000003</v>
      </c>
      <c r="AH25" s="28">
        <f t="shared" si="71"/>
        <v>20536.650000000001</v>
      </c>
      <c r="AI25" s="28">
        <f t="shared" si="71"/>
        <v>27382.200000000004</v>
      </c>
      <c r="AJ25" s="28">
        <f t="shared" si="71"/>
        <v>54764.400000000009</v>
      </c>
      <c r="AK25" s="38"/>
      <c r="AL25" s="39">
        <v>3.4200000000000004</v>
      </c>
      <c r="AM25" s="40">
        <f t="shared" si="72"/>
        <v>212.04000000000002</v>
      </c>
      <c r="AN25" s="28">
        <f t="shared" si="58"/>
        <v>1049.0400000000002</v>
      </c>
      <c r="AO25" s="28">
        <f t="shared" si="73"/>
        <v>1311.3000000000002</v>
      </c>
      <c r="AP25" s="28">
        <f t="shared" si="73"/>
        <v>1748.4</v>
      </c>
      <c r="AQ25" s="28">
        <f t="shared" si="73"/>
        <v>3496.8</v>
      </c>
      <c r="AS25" s="28">
        <f t="shared" si="59"/>
        <v>130.28400000000002</v>
      </c>
      <c r="AT25" s="28">
        <f t="shared" si="74"/>
        <v>162.85500000000002</v>
      </c>
      <c r="AU25" s="28">
        <f t="shared" si="74"/>
        <v>217.14000000000001</v>
      </c>
      <c r="AV25" s="28">
        <f t="shared" si="74"/>
        <v>434.28000000000003</v>
      </c>
      <c r="AX25" s="31">
        <f t="shared" si="60"/>
        <v>8460</v>
      </c>
      <c r="AY25" s="31">
        <f t="shared" si="75"/>
        <v>10575.000000000002</v>
      </c>
      <c r="AZ25" s="31">
        <f t="shared" si="75"/>
        <v>14100.000000000002</v>
      </c>
      <c r="BA25" s="31">
        <f t="shared" si="75"/>
        <v>28200.000000000004</v>
      </c>
      <c r="BD25" s="55">
        <f t="shared" si="38"/>
        <v>72.967500000000015</v>
      </c>
      <c r="BE25" s="55">
        <f t="shared" si="39"/>
        <v>97.29000000000002</v>
      </c>
      <c r="BF25" s="55">
        <f t="shared" si="40"/>
        <v>194.58000000000004</v>
      </c>
      <c r="BI25" s="55">
        <f t="shared" si="41"/>
        <v>379.64250000000004</v>
      </c>
      <c r="BJ25" s="55">
        <f t="shared" si="42"/>
        <v>506.19000000000005</v>
      </c>
      <c r="BK25" s="55">
        <f t="shared" si="43"/>
        <v>1012.3800000000001</v>
      </c>
      <c r="BN25" s="56">
        <f t="shared" si="44"/>
        <v>136438.65000000002</v>
      </c>
      <c r="BO25" s="56">
        <f t="shared" si="45"/>
        <v>181918.2</v>
      </c>
      <c r="BP25" s="56">
        <f t="shared" si="46"/>
        <v>363836.4</v>
      </c>
      <c r="BR25" s="54"/>
    </row>
    <row r="26" spans="1:72" x14ac:dyDescent="0.2">
      <c r="A26" s="14">
        <v>42300</v>
      </c>
      <c r="B26" s="22" t="s">
        <v>67</v>
      </c>
      <c r="C26" s="17" t="s">
        <v>8</v>
      </c>
      <c r="D26" s="17" t="s">
        <v>10</v>
      </c>
      <c r="E26" s="18">
        <v>1.2</v>
      </c>
      <c r="F26" s="24">
        <v>2.67</v>
      </c>
      <c r="G26" s="20" t="s">
        <v>6</v>
      </c>
      <c r="H26" s="11">
        <v>50</v>
      </c>
      <c r="I26" s="30">
        <f t="shared" si="61"/>
        <v>3.35</v>
      </c>
      <c r="J26" s="21">
        <f t="shared" si="62"/>
        <v>3.87</v>
      </c>
      <c r="K26" s="21">
        <f t="shared" si="63"/>
        <v>4.54</v>
      </c>
      <c r="L26" s="22">
        <f t="shared" si="47"/>
        <v>6.7</v>
      </c>
      <c r="M26" s="22">
        <f t="shared" si="48"/>
        <v>8.375</v>
      </c>
      <c r="N26" s="21">
        <f t="shared" si="49"/>
        <v>10.050000000000001</v>
      </c>
      <c r="O26" s="22">
        <f t="shared" si="50"/>
        <v>11.725</v>
      </c>
      <c r="P26" s="30">
        <f t="shared" si="64"/>
        <v>20.100000000000001</v>
      </c>
      <c r="Q26" s="30">
        <f t="shared" si="65"/>
        <v>22.612500000000001</v>
      </c>
      <c r="R26" s="30">
        <f t="shared" si="66"/>
        <v>23.868749999999999</v>
      </c>
      <c r="S26" s="30">
        <f t="shared" si="67"/>
        <v>23.45</v>
      </c>
      <c r="T26" s="30">
        <f t="shared" si="68"/>
        <v>25.125</v>
      </c>
      <c r="U26" s="17">
        <f t="shared" si="51"/>
        <v>33.5</v>
      </c>
      <c r="V26" s="30">
        <f t="shared" si="52"/>
        <v>67</v>
      </c>
      <c r="W26" s="21"/>
      <c r="X26" s="23">
        <f t="shared" si="53"/>
        <v>46900</v>
      </c>
      <c r="Y26" s="23">
        <f t="shared" si="69"/>
        <v>72360</v>
      </c>
      <c r="Z26" s="23">
        <f t="shared" si="54"/>
        <v>80400</v>
      </c>
      <c r="AA26" s="23">
        <f t="shared" si="55"/>
        <v>100500</v>
      </c>
      <c r="AB26" s="23">
        <f t="shared" si="55"/>
        <v>134000</v>
      </c>
      <c r="AE26" s="36">
        <f t="shared" si="56"/>
        <v>3.95</v>
      </c>
      <c r="AF26" s="37">
        <f t="shared" si="70"/>
        <v>3835.4500000000003</v>
      </c>
      <c r="AG26" s="28">
        <f t="shared" si="57"/>
        <v>19517.100000000002</v>
      </c>
      <c r="AH26" s="28">
        <f t="shared" si="71"/>
        <v>24396.375</v>
      </c>
      <c r="AI26" s="28">
        <f t="shared" si="71"/>
        <v>32528.5</v>
      </c>
      <c r="AJ26" s="28">
        <f t="shared" si="71"/>
        <v>65057</v>
      </c>
      <c r="AK26" s="38"/>
      <c r="AL26" s="39">
        <v>3.95</v>
      </c>
      <c r="AM26" s="40">
        <f t="shared" si="72"/>
        <v>244.9</v>
      </c>
      <c r="AN26" s="28">
        <f t="shared" si="58"/>
        <v>1246.2</v>
      </c>
      <c r="AO26" s="28">
        <f t="shared" si="73"/>
        <v>1557.75</v>
      </c>
      <c r="AP26" s="28">
        <f t="shared" si="73"/>
        <v>2077</v>
      </c>
      <c r="AQ26" s="28">
        <f t="shared" si="73"/>
        <v>4154</v>
      </c>
      <c r="AS26" s="28">
        <f t="shared" si="59"/>
        <v>154.77000000000001</v>
      </c>
      <c r="AT26" s="28">
        <f t="shared" si="74"/>
        <v>193.46250000000001</v>
      </c>
      <c r="AU26" s="28">
        <f t="shared" si="74"/>
        <v>257.95</v>
      </c>
      <c r="AV26" s="28">
        <f t="shared" si="74"/>
        <v>515.9</v>
      </c>
      <c r="AX26" s="31">
        <f t="shared" si="60"/>
        <v>10050</v>
      </c>
      <c r="AY26" s="31">
        <f t="shared" si="75"/>
        <v>12562.5</v>
      </c>
      <c r="AZ26" s="31">
        <f t="shared" si="75"/>
        <v>16750</v>
      </c>
      <c r="BA26" s="31">
        <f t="shared" si="75"/>
        <v>33500</v>
      </c>
      <c r="BD26" s="55">
        <f t="shared" si="38"/>
        <v>86.681250000000006</v>
      </c>
      <c r="BE26" s="55">
        <f t="shared" si="39"/>
        <v>115.575</v>
      </c>
      <c r="BF26" s="55">
        <f t="shared" si="40"/>
        <v>231.15</v>
      </c>
      <c r="BI26" s="55">
        <f t="shared" si="41"/>
        <v>450.99374999999998</v>
      </c>
      <c r="BJ26" s="55">
        <f t="shared" si="42"/>
        <v>601.32499999999993</v>
      </c>
      <c r="BK26" s="55">
        <f t="shared" si="43"/>
        <v>1202.6499999999999</v>
      </c>
      <c r="BN26" s="56">
        <f t="shared" si="44"/>
        <v>162081.375</v>
      </c>
      <c r="BO26" s="56">
        <f t="shared" si="45"/>
        <v>216108.5</v>
      </c>
      <c r="BP26" s="56">
        <f t="shared" si="46"/>
        <v>432217</v>
      </c>
      <c r="BR26" s="54"/>
    </row>
    <row r="27" spans="1:72" x14ac:dyDescent="0.2">
      <c r="A27" s="14">
        <v>42320</v>
      </c>
      <c r="B27" s="21" t="s">
        <v>68</v>
      </c>
      <c r="C27" s="17" t="s">
        <v>9</v>
      </c>
      <c r="D27" s="17" t="s">
        <v>10</v>
      </c>
      <c r="E27" s="18">
        <v>1.54</v>
      </c>
      <c r="F27" s="24">
        <v>4.01</v>
      </c>
      <c r="G27" s="20" t="s">
        <v>6</v>
      </c>
      <c r="H27" s="11">
        <v>50</v>
      </c>
      <c r="I27" s="17">
        <f t="shared" si="61"/>
        <v>4.6899999999999995</v>
      </c>
      <c r="J27" s="21">
        <f t="shared" si="62"/>
        <v>5.21</v>
      </c>
      <c r="K27" s="21">
        <f t="shared" si="63"/>
        <v>5.88</v>
      </c>
      <c r="L27" s="22">
        <f t="shared" si="47"/>
        <v>9.379999999999999</v>
      </c>
      <c r="M27" s="22">
        <f t="shared" si="48"/>
        <v>11.724999999999998</v>
      </c>
      <c r="N27" s="21">
        <f t="shared" si="49"/>
        <v>14.069999999999999</v>
      </c>
      <c r="O27" s="22">
        <f t="shared" si="50"/>
        <v>16.414999999999999</v>
      </c>
      <c r="P27" s="30">
        <f t="shared" si="64"/>
        <v>28.14</v>
      </c>
      <c r="Q27" s="30">
        <f t="shared" si="65"/>
        <v>31.657499999999999</v>
      </c>
      <c r="R27" s="30">
        <f t="shared" si="66"/>
        <v>33.416249999999998</v>
      </c>
      <c r="S27" s="30">
        <f t="shared" si="67"/>
        <v>32.829999999999991</v>
      </c>
      <c r="T27" s="30">
        <f t="shared" si="68"/>
        <v>35.174999999999997</v>
      </c>
      <c r="U27" s="17">
        <f t="shared" si="51"/>
        <v>46.899999999999991</v>
      </c>
      <c r="V27" s="30">
        <f t="shared" si="52"/>
        <v>93.799999999999983</v>
      </c>
      <c r="W27" s="21"/>
      <c r="X27" s="23">
        <f t="shared" si="53"/>
        <v>65660</v>
      </c>
      <c r="Y27" s="23">
        <f t="shared" si="69"/>
        <v>101304</v>
      </c>
      <c r="Z27" s="23">
        <f t="shared" si="54"/>
        <v>112560</v>
      </c>
      <c r="AA27" s="23">
        <f t="shared" si="55"/>
        <v>140700</v>
      </c>
      <c r="AB27" s="23">
        <f t="shared" si="55"/>
        <v>187599.99999999997</v>
      </c>
      <c r="AE27" s="36">
        <f t="shared" si="56"/>
        <v>5.2899999999999991</v>
      </c>
      <c r="AF27" s="37">
        <f t="shared" si="70"/>
        <v>5136.5899999999992</v>
      </c>
      <c r="AG27" s="28">
        <f t="shared" si="57"/>
        <v>27323.940000000002</v>
      </c>
      <c r="AH27" s="28">
        <f t="shared" si="71"/>
        <v>34154.924999999996</v>
      </c>
      <c r="AI27" s="28">
        <f t="shared" si="71"/>
        <v>45539.899999999994</v>
      </c>
      <c r="AJ27" s="28">
        <f t="shared" si="71"/>
        <v>91079.799999999988</v>
      </c>
      <c r="AK27" s="38"/>
      <c r="AL27" s="39">
        <v>5.2899999999999991</v>
      </c>
      <c r="AM27" s="40">
        <f t="shared" si="72"/>
        <v>327.97999999999996</v>
      </c>
      <c r="AN27" s="28">
        <f t="shared" si="58"/>
        <v>1744.68</v>
      </c>
      <c r="AO27" s="28">
        <f t="shared" si="73"/>
        <v>2180.85</v>
      </c>
      <c r="AP27" s="28">
        <f t="shared" si="73"/>
        <v>2907.7999999999993</v>
      </c>
      <c r="AQ27" s="28">
        <f t="shared" si="73"/>
        <v>5815.5999999999985</v>
      </c>
      <c r="AS27" s="28">
        <f t="shared" si="59"/>
        <v>216.678</v>
      </c>
      <c r="AT27" s="28">
        <f t="shared" si="74"/>
        <v>270.84749999999997</v>
      </c>
      <c r="AU27" s="28">
        <f t="shared" si="74"/>
        <v>361.12999999999994</v>
      </c>
      <c r="AV27" s="28">
        <f t="shared" si="74"/>
        <v>722.25999999999988</v>
      </c>
      <c r="AX27" s="31">
        <f t="shared" si="60"/>
        <v>14070</v>
      </c>
      <c r="AY27" s="31">
        <f t="shared" si="75"/>
        <v>17587.5</v>
      </c>
      <c r="AZ27" s="31">
        <f t="shared" si="75"/>
        <v>23449.999999999996</v>
      </c>
      <c r="BA27" s="31">
        <f t="shared" si="75"/>
        <v>46899.999999999993</v>
      </c>
      <c r="BD27" s="55">
        <f t="shared" si="38"/>
        <v>121.35374999999999</v>
      </c>
      <c r="BE27" s="55">
        <f t="shared" si="39"/>
        <v>161.80499999999998</v>
      </c>
      <c r="BF27" s="55">
        <f t="shared" si="40"/>
        <v>323.60999999999996</v>
      </c>
      <c r="BI27" s="55">
        <f t="shared" si="41"/>
        <v>631.3912499999999</v>
      </c>
      <c r="BJ27" s="55">
        <f t="shared" si="42"/>
        <v>841.85499999999979</v>
      </c>
      <c r="BK27" s="55">
        <f t="shared" si="43"/>
        <v>1683.7099999999996</v>
      </c>
      <c r="BN27" s="56">
        <f t="shared" si="44"/>
        <v>226913.92499999999</v>
      </c>
      <c r="BO27" s="56">
        <f t="shared" si="45"/>
        <v>302551.89999999997</v>
      </c>
      <c r="BP27" s="56">
        <f t="shared" si="46"/>
        <v>605103.79999999993</v>
      </c>
      <c r="BR27" s="54"/>
    </row>
    <row r="28" spans="1:72" x14ac:dyDescent="0.2">
      <c r="A28" s="14">
        <v>42386</v>
      </c>
      <c r="B28" s="21" t="s">
        <v>69</v>
      </c>
      <c r="C28" s="17" t="s">
        <v>11</v>
      </c>
      <c r="D28" s="17" t="s">
        <v>12</v>
      </c>
      <c r="E28" s="18">
        <v>1.1499999999999999</v>
      </c>
      <c r="F28" s="25">
        <v>1.86</v>
      </c>
      <c r="G28" s="20" t="s">
        <v>6</v>
      </c>
      <c r="H28" s="11">
        <v>50</v>
      </c>
      <c r="I28" s="17">
        <f t="shared" si="61"/>
        <v>2.54</v>
      </c>
      <c r="J28" s="21">
        <f t="shared" si="62"/>
        <v>3.06</v>
      </c>
      <c r="K28" s="21">
        <f t="shared" si="63"/>
        <v>3.7300000000000004</v>
      </c>
      <c r="L28" s="22">
        <f t="shared" si="47"/>
        <v>5.08</v>
      </c>
      <c r="M28" s="22">
        <f t="shared" si="48"/>
        <v>6.35</v>
      </c>
      <c r="N28" s="21">
        <f t="shared" si="49"/>
        <v>7.62</v>
      </c>
      <c r="O28" s="22">
        <f t="shared" si="50"/>
        <v>8.89</v>
      </c>
      <c r="P28" s="30">
        <f t="shared" si="64"/>
        <v>15.239999999999998</v>
      </c>
      <c r="Q28" s="30">
        <f t="shared" si="65"/>
        <v>17.145</v>
      </c>
      <c r="R28" s="30">
        <f t="shared" si="66"/>
        <v>18.097499999999997</v>
      </c>
      <c r="S28" s="30">
        <f t="shared" si="67"/>
        <v>17.779999999999998</v>
      </c>
      <c r="T28" s="30">
        <f t="shared" si="68"/>
        <v>19.049999999999997</v>
      </c>
      <c r="U28" s="17">
        <f t="shared" si="51"/>
        <v>25.4</v>
      </c>
      <c r="V28" s="30">
        <f>I28*17</f>
        <v>43.18</v>
      </c>
      <c r="W28" s="21" t="s">
        <v>52</v>
      </c>
      <c r="X28" s="23">
        <f t="shared" si="53"/>
        <v>35560</v>
      </c>
      <c r="Y28" s="23">
        <f t="shared" si="69"/>
        <v>54863.999999999993</v>
      </c>
      <c r="Z28" s="23">
        <f t="shared" si="54"/>
        <v>60959.999999999993</v>
      </c>
      <c r="AA28" s="23">
        <f t="shared" si="55"/>
        <v>76199.999999999985</v>
      </c>
      <c r="AB28" s="23">
        <f t="shared" si="55"/>
        <v>101600</v>
      </c>
      <c r="AC28" s="1" t="s">
        <v>44</v>
      </c>
      <c r="AE28" s="36">
        <f t="shared" si="56"/>
        <v>3.14</v>
      </c>
      <c r="AF28" s="37">
        <f t="shared" si="70"/>
        <v>3048.94</v>
      </c>
      <c r="AG28" s="28">
        <f t="shared" si="57"/>
        <v>14798.039999999999</v>
      </c>
      <c r="AH28" s="28">
        <f t="shared" si="71"/>
        <v>18497.549999999996</v>
      </c>
      <c r="AI28" s="28">
        <f t="shared" si="71"/>
        <v>24663.399999999998</v>
      </c>
      <c r="AJ28" s="28">
        <f t="shared" si="71"/>
        <v>41927.78</v>
      </c>
      <c r="AK28" s="38"/>
      <c r="AL28" s="39">
        <v>3.14</v>
      </c>
      <c r="AM28" s="40">
        <f t="shared" si="72"/>
        <v>194.68</v>
      </c>
      <c r="AN28" s="28">
        <f t="shared" si="58"/>
        <v>944.87999999999988</v>
      </c>
      <c r="AO28" s="28">
        <f t="shared" si="73"/>
        <v>1181.0999999999999</v>
      </c>
      <c r="AP28" s="28">
        <f t="shared" si="73"/>
        <v>1574.8</v>
      </c>
      <c r="AQ28" s="28">
        <f t="shared" si="73"/>
        <v>2677.16</v>
      </c>
      <c r="AS28" s="28">
        <f t="shared" si="59"/>
        <v>117.34799999999998</v>
      </c>
      <c r="AT28" s="28">
        <f t="shared" si="74"/>
        <v>146.68499999999997</v>
      </c>
      <c r="AU28" s="28">
        <f t="shared" si="74"/>
        <v>195.57999999999998</v>
      </c>
      <c r="AV28" s="28">
        <f t="shared" si="74"/>
        <v>332.48599999999999</v>
      </c>
      <c r="AX28" s="31">
        <f t="shared" si="60"/>
        <v>7619.9999999999991</v>
      </c>
      <c r="AY28" s="31">
        <f t="shared" si="75"/>
        <v>9524.9999999999982</v>
      </c>
      <c r="AZ28" s="31">
        <f t="shared" si="75"/>
        <v>12700</v>
      </c>
      <c r="BA28" s="31">
        <f t="shared" si="75"/>
        <v>21590</v>
      </c>
      <c r="BD28" s="55">
        <f t="shared" si="38"/>
        <v>65.722499999999997</v>
      </c>
      <c r="BE28" s="55">
        <f t="shared" si="39"/>
        <v>87.63</v>
      </c>
      <c r="BF28" s="55">
        <f t="shared" si="40"/>
        <v>148.971</v>
      </c>
      <c r="BI28" s="55">
        <f t="shared" si="41"/>
        <v>341.94749999999993</v>
      </c>
      <c r="BJ28" s="55">
        <f t="shared" si="42"/>
        <v>455.92999999999995</v>
      </c>
      <c r="BK28" s="55">
        <f t="shared" si="43"/>
        <v>775.08100000000002</v>
      </c>
      <c r="BN28" s="56">
        <f t="shared" si="44"/>
        <v>122891.54999999999</v>
      </c>
      <c r="BO28" s="56">
        <f t="shared" si="45"/>
        <v>163855.4</v>
      </c>
      <c r="BP28" s="56">
        <f t="shared" si="46"/>
        <v>278554.18</v>
      </c>
      <c r="BR28" s="54"/>
    </row>
    <row r="29" spans="1:72" x14ac:dyDescent="0.2">
      <c r="A29" s="14">
        <v>42390</v>
      </c>
      <c r="B29" s="21" t="s">
        <v>70</v>
      </c>
      <c r="C29" s="17" t="s">
        <v>4</v>
      </c>
      <c r="D29" s="17" t="s">
        <v>10</v>
      </c>
      <c r="E29" s="18">
        <v>1.85</v>
      </c>
      <c r="F29" s="25">
        <v>3.04</v>
      </c>
      <c r="G29" s="20" t="s">
        <v>6</v>
      </c>
      <c r="H29" s="11">
        <v>50</v>
      </c>
      <c r="I29" s="17">
        <f t="shared" si="61"/>
        <v>3.72</v>
      </c>
      <c r="J29" s="21">
        <f t="shared" si="62"/>
        <v>4.24</v>
      </c>
      <c r="K29" s="21">
        <f t="shared" si="63"/>
        <v>4.91</v>
      </c>
      <c r="L29" s="22">
        <f t="shared" si="47"/>
        <v>7.44</v>
      </c>
      <c r="M29" s="22">
        <f t="shared" si="48"/>
        <v>9.3000000000000007</v>
      </c>
      <c r="N29" s="21">
        <f t="shared" si="49"/>
        <v>11.16</v>
      </c>
      <c r="O29" s="22">
        <f t="shared" si="50"/>
        <v>13.020000000000001</v>
      </c>
      <c r="P29" s="30">
        <f t="shared" si="64"/>
        <v>22.320000000000004</v>
      </c>
      <c r="Q29" s="30">
        <f t="shared" si="65"/>
        <v>25.110000000000003</v>
      </c>
      <c r="R29" s="30">
        <f t="shared" si="66"/>
        <v>26.505000000000003</v>
      </c>
      <c r="S29" s="30">
        <f t="shared" si="67"/>
        <v>26.04</v>
      </c>
      <c r="T29" s="30">
        <f t="shared" si="68"/>
        <v>27.900000000000002</v>
      </c>
      <c r="U29" s="17">
        <f t="shared" si="51"/>
        <v>37.200000000000003</v>
      </c>
      <c r="V29" s="30">
        <f>I29*17</f>
        <v>63.24</v>
      </c>
      <c r="W29" s="21" t="s">
        <v>52</v>
      </c>
      <c r="X29" s="23">
        <f t="shared" si="53"/>
        <v>52080.000000000007</v>
      </c>
      <c r="Y29" s="23">
        <f t="shared" si="69"/>
        <v>80352.000000000015</v>
      </c>
      <c r="Z29" s="23">
        <f t="shared" si="54"/>
        <v>89280.000000000015</v>
      </c>
      <c r="AA29" s="23">
        <f t="shared" si="55"/>
        <v>111600.00000000001</v>
      </c>
      <c r="AB29" s="23">
        <f t="shared" si="55"/>
        <v>148800</v>
      </c>
      <c r="AC29" s="5" t="s">
        <v>44</v>
      </c>
      <c r="AD29" s="5"/>
      <c r="AE29" s="36">
        <f t="shared" si="56"/>
        <v>4.32</v>
      </c>
      <c r="AF29" s="37">
        <f t="shared" si="70"/>
        <v>4194.72</v>
      </c>
      <c r="AG29" s="28">
        <f t="shared" si="57"/>
        <v>21672.720000000005</v>
      </c>
      <c r="AH29" s="28">
        <f t="shared" si="71"/>
        <v>27090.9</v>
      </c>
      <c r="AI29" s="28">
        <f t="shared" si="71"/>
        <v>36121.200000000004</v>
      </c>
      <c r="AJ29" s="28">
        <f t="shared" si="71"/>
        <v>61406.04</v>
      </c>
      <c r="AK29" s="38"/>
      <c r="AL29" s="39">
        <v>4.32</v>
      </c>
      <c r="AM29" s="40">
        <f t="shared" si="72"/>
        <v>267.84000000000003</v>
      </c>
      <c r="AN29" s="28">
        <f t="shared" si="58"/>
        <v>1383.8400000000001</v>
      </c>
      <c r="AO29" s="28">
        <f t="shared" si="73"/>
        <v>1729.8000000000002</v>
      </c>
      <c r="AP29" s="28">
        <f t="shared" si="73"/>
        <v>2306.4</v>
      </c>
      <c r="AQ29" s="28">
        <f t="shared" si="73"/>
        <v>3920.88</v>
      </c>
      <c r="AS29" s="28">
        <f t="shared" si="59"/>
        <v>171.86400000000003</v>
      </c>
      <c r="AT29" s="28">
        <f t="shared" si="74"/>
        <v>214.83</v>
      </c>
      <c r="AU29" s="28">
        <f t="shared" si="74"/>
        <v>286.44000000000005</v>
      </c>
      <c r="AV29" s="28">
        <f t="shared" si="74"/>
        <v>486.94800000000004</v>
      </c>
      <c r="AX29" s="31">
        <f t="shared" si="60"/>
        <v>11160.000000000002</v>
      </c>
      <c r="AY29" s="31">
        <f t="shared" si="75"/>
        <v>13950.000000000002</v>
      </c>
      <c r="AZ29" s="31">
        <f t="shared" si="75"/>
        <v>18600</v>
      </c>
      <c r="BA29" s="31">
        <f t="shared" si="75"/>
        <v>31620</v>
      </c>
      <c r="BD29" s="55">
        <f t="shared" si="38"/>
        <v>96.25500000000001</v>
      </c>
      <c r="BE29" s="55">
        <f t="shared" si="39"/>
        <v>128.34</v>
      </c>
      <c r="BF29" s="55">
        <f t="shared" si="40"/>
        <v>218.17800000000003</v>
      </c>
      <c r="BI29" s="55">
        <f t="shared" si="41"/>
        <v>500.80500000000001</v>
      </c>
      <c r="BJ29" s="55">
        <f t="shared" si="42"/>
        <v>667.74</v>
      </c>
      <c r="BK29" s="55">
        <f t="shared" si="43"/>
        <v>1135.1579999999999</v>
      </c>
      <c r="BN29" s="56">
        <f t="shared" si="44"/>
        <v>179982.90000000002</v>
      </c>
      <c r="BO29" s="56">
        <f t="shared" si="45"/>
        <v>239977.2</v>
      </c>
      <c r="BP29" s="56">
        <f t="shared" si="46"/>
        <v>407961.24</v>
      </c>
      <c r="BR29" s="54"/>
    </row>
    <row r="30" spans="1:72" x14ac:dyDescent="0.2">
      <c r="A30" s="14">
        <v>42395</v>
      </c>
      <c r="B30" s="21" t="s">
        <v>71</v>
      </c>
      <c r="C30" s="17" t="s">
        <v>8</v>
      </c>
      <c r="D30" s="17" t="s">
        <v>10</v>
      </c>
      <c r="E30" s="18">
        <v>2.52</v>
      </c>
      <c r="F30" s="25">
        <v>4.05</v>
      </c>
      <c r="G30" s="20" t="s">
        <v>6</v>
      </c>
      <c r="H30" s="11">
        <v>50</v>
      </c>
      <c r="I30" s="17">
        <f t="shared" si="61"/>
        <v>4.7299999999999995</v>
      </c>
      <c r="J30" s="21">
        <f t="shared" si="62"/>
        <v>5.25</v>
      </c>
      <c r="K30" s="21">
        <f t="shared" si="63"/>
        <v>5.92</v>
      </c>
      <c r="L30" s="22">
        <f t="shared" si="47"/>
        <v>9.4599999999999991</v>
      </c>
      <c r="M30" s="22">
        <f t="shared" si="48"/>
        <v>11.824999999999999</v>
      </c>
      <c r="N30" s="21">
        <f t="shared" si="49"/>
        <v>14.189999999999998</v>
      </c>
      <c r="O30" s="22">
        <f t="shared" si="50"/>
        <v>16.555</v>
      </c>
      <c r="P30" s="30">
        <f t="shared" si="64"/>
        <v>28.379999999999995</v>
      </c>
      <c r="Q30" s="30">
        <f t="shared" si="65"/>
        <v>31.927499999999995</v>
      </c>
      <c r="R30" s="30">
        <f t="shared" si="66"/>
        <v>33.701249999999995</v>
      </c>
      <c r="S30" s="30">
        <f t="shared" si="67"/>
        <v>33.11</v>
      </c>
      <c r="T30" s="30">
        <f t="shared" si="68"/>
        <v>35.474999999999994</v>
      </c>
      <c r="U30" s="17">
        <f t="shared" si="51"/>
        <v>47.3</v>
      </c>
      <c r="V30" s="30">
        <f>I30*17</f>
        <v>80.41</v>
      </c>
      <c r="W30" s="21" t="s">
        <v>52</v>
      </c>
      <c r="X30" s="23">
        <f t="shared" si="53"/>
        <v>66220</v>
      </c>
      <c r="Y30" s="23">
        <f t="shared" si="69"/>
        <v>102167.99999999999</v>
      </c>
      <c r="Z30" s="23">
        <f t="shared" si="54"/>
        <v>113519.99999999999</v>
      </c>
      <c r="AA30" s="23">
        <f t="shared" si="55"/>
        <v>141899.99999999997</v>
      </c>
      <c r="AB30" s="23">
        <f t="shared" si="55"/>
        <v>189200</v>
      </c>
      <c r="AC30" s="5" t="s">
        <v>44</v>
      </c>
      <c r="AD30" s="5"/>
      <c r="AE30" s="36">
        <f t="shared" si="56"/>
        <v>5.3299999999999992</v>
      </c>
      <c r="AF30" s="37">
        <f t="shared" si="70"/>
        <v>5175.4299999999994</v>
      </c>
      <c r="AG30" s="28">
        <f t="shared" si="57"/>
        <v>27556.979999999996</v>
      </c>
      <c r="AH30" s="28">
        <f t="shared" si="71"/>
        <v>34446.224999999991</v>
      </c>
      <c r="AI30" s="28">
        <f t="shared" si="71"/>
        <v>45928.299999999996</v>
      </c>
      <c r="AJ30" s="28">
        <f t="shared" si="71"/>
        <v>78078.11</v>
      </c>
      <c r="AK30" s="38"/>
      <c r="AL30" s="39">
        <v>5.3299999999999992</v>
      </c>
      <c r="AM30" s="40">
        <f t="shared" si="72"/>
        <v>330.45999999999992</v>
      </c>
      <c r="AN30" s="28">
        <f t="shared" si="58"/>
        <v>1759.5599999999997</v>
      </c>
      <c r="AO30" s="28">
        <f t="shared" si="73"/>
        <v>2199.4499999999998</v>
      </c>
      <c r="AP30" s="28">
        <f t="shared" si="73"/>
        <v>2932.6</v>
      </c>
      <c r="AQ30" s="28">
        <f t="shared" si="73"/>
        <v>4985.42</v>
      </c>
      <c r="AS30" s="28">
        <f t="shared" si="59"/>
        <v>218.52599999999998</v>
      </c>
      <c r="AT30" s="28">
        <f t="shared" si="74"/>
        <v>273.15749999999997</v>
      </c>
      <c r="AU30" s="28">
        <f t="shared" si="74"/>
        <v>364.21</v>
      </c>
      <c r="AV30" s="28">
        <f t="shared" si="74"/>
        <v>619.15700000000004</v>
      </c>
      <c r="AX30" s="31">
        <f t="shared" si="60"/>
        <v>14189.999999999998</v>
      </c>
      <c r="AY30" s="31">
        <f t="shared" si="75"/>
        <v>17737.499999999996</v>
      </c>
      <c r="AZ30" s="31">
        <f t="shared" si="75"/>
        <v>23650</v>
      </c>
      <c r="BA30" s="31">
        <f t="shared" si="75"/>
        <v>40205</v>
      </c>
      <c r="BD30" s="55">
        <f t="shared" si="38"/>
        <v>122.38874999999999</v>
      </c>
      <c r="BE30" s="55">
        <f t="shared" si="39"/>
        <v>163.185</v>
      </c>
      <c r="BF30" s="55">
        <f t="shared" si="40"/>
        <v>277.41449999999998</v>
      </c>
      <c r="BI30" s="55">
        <f t="shared" si="41"/>
        <v>636.77624999999989</v>
      </c>
      <c r="BJ30" s="55">
        <f t="shared" si="42"/>
        <v>849.03499999999997</v>
      </c>
      <c r="BK30" s="55">
        <f t="shared" si="43"/>
        <v>1443.3594999999998</v>
      </c>
      <c r="BN30" s="56">
        <f t="shared" si="44"/>
        <v>228849.22499999998</v>
      </c>
      <c r="BO30" s="56">
        <f t="shared" si="45"/>
        <v>305132.3</v>
      </c>
      <c r="BP30" s="56">
        <f t="shared" si="46"/>
        <v>518724.91</v>
      </c>
      <c r="BR30" s="54"/>
    </row>
    <row r="31" spans="1:72" x14ac:dyDescent="0.2">
      <c r="A31" s="14">
        <v>42397</v>
      </c>
      <c r="B31" s="22" t="s">
        <v>72</v>
      </c>
      <c r="C31" s="17" t="s">
        <v>14</v>
      </c>
      <c r="D31" s="17" t="s">
        <v>10</v>
      </c>
      <c r="E31" s="18">
        <v>3.47</v>
      </c>
      <c r="F31" s="25">
        <v>5.42</v>
      </c>
      <c r="G31" s="20" t="s">
        <v>6</v>
      </c>
      <c r="H31" s="11">
        <v>50</v>
      </c>
      <c r="I31" s="30">
        <f t="shared" si="61"/>
        <v>6.1</v>
      </c>
      <c r="J31" s="21">
        <f t="shared" si="62"/>
        <v>6.62</v>
      </c>
      <c r="K31" s="21">
        <f t="shared" si="63"/>
        <v>7.29</v>
      </c>
      <c r="L31" s="22">
        <f t="shared" si="47"/>
        <v>12.2</v>
      </c>
      <c r="M31" s="22">
        <f t="shared" si="48"/>
        <v>15.25</v>
      </c>
      <c r="N31" s="21">
        <f t="shared" si="49"/>
        <v>18.299999999999997</v>
      </c>
      <c r="O31" s="22">
        <f t="shared" si="50"/>
        <v>21.349999999999998</v>
      </c>
      <c r="P31" s="30">
        <f t="shared" si="64"/>
        <v>36.6</v>
      </c>
      <c r="Q31" s="30">
        <f t="shared" si="65"/>
        <v>41.175000000000004</v>
      </c>
      <c r="R31" s="30">
        <f t="shared" si="66"/>
        <v>43.462499999999999</v>
      </c>
      <c r="S31" s="30">
        <f t="shared" si="67"/>
        <v>42.699999999999996</v>
      </c>
      <c r="T31" s="30">
        <f t="shared" si="68"/>
        <v>45.75</v>
      </c>
      <c r="U31" s="17">
        <f t="shared" si="51"/>
        <v>61</v>
      </c>
      <c r="V31" s="30">
        <f>I31*17</f>
        <v>103.69999999999999</v>
      </c>
      <c r="W31" s="21" t="s">
        <v>52</v>
      </c>
      <c r="X31" s="23">
        <f t="shared" si="53"/>
        <v>85399.999999999985</v>
      </c>
      <c r="Y31" s="23">
        <f t="shared" si="69"/>
        <v>131760</v>
      </c>
      <c r="Z31" s="23">
        <f t="shared" si="54"/>
        <v>146400</v>
      </c>
      <c r="AA31" s="23">
        <f t="shared" si="55"/>
        <v>183000</v>
      </c>
      <c r="AB31" s="23">
        <f t="shared" si="55"/>
        <v>244000</v>
      </c>
      <c r="AC31" s="5" t="s">
        <v>44</v>
      </c>
      <c r="AD31" s="5"/>
      <c r="AE31" s="36">
        <f t="shared" si="56"/>
        <v>6.6999999999999993</v>
      </c>
      <c r="AF31" s="37">
        <f t="shared" si="70"/>
        <v>6505.6999999999989</v>
      </c>
      <c r="AG31" s="28">
        <f t="shared" si="57"/>
        <v>35538.6</v>
      </c>
      <c r="AH31" s="28">
        <f t="shared" si="71"/>
        <v>44423.25</v>
      </c>
      <c r="AI31" s="28">
        <f t="shared" si="71"/>
        <v>59231</v>
      </c>
      <c r="AJ31" s="28">
        <f t="shared" si="71"/>
        <v>100692.69999999998</v>
      </c>
      <c r="AK31" s="38"/>
      <c r="AL31" s="39">
        <v>6.6999999999999993</v>
      </c>
      <c r="AM31" s="40">
        <f t="shared" si="72"/>
        <v>415.4</v>
      </c>
      <c r="AN31" s="28">
        <f t="shared" si="58"/>
        <v>2269.2000000000003</v>
      </c>
      <c r="AO31" s="28">
        <f t="shared" si="73"/>
        <v>2836.5</v>
      </c>
      <c r="AP31" s="28">
        <f t="shared" si="73"/>
        <v>3782</v>
      </c>
      <c r="AQ31" s="28">
        <f t="shared" si="73"/>
        <v>6429.4</v>
      </c>
      <c r="AS31" s="28">
        <f t="shared" si="59"/>
        <v>281.82</v>
      </c>
      <c r="AT31" s="28">
        <f t="shared" si="74"/>
        <v>352.27500000000003</v>
      </c>
      <c r="AU31" s="28">
        <f t="shared" si="74"/>
        <v>469.7</v>
      </c>
      <c r="AV31" s="28">
        <f t="shared" si="74"/>
        <v>798.4899999999999</v>
      </c>
      <c r="AX31" s="31">
        <f t="shared" si="60"/>
        <v>18300</v>
      </c>
      <c r="AY31" s="31">
        <f t="shared" si="75"/>
        <v>22875</v>
      </c>
      <c r="AZ31" s="31">
        <f t="shared" si="75"/>
        <v>30500</v>
      </c>
      <c r="BA31" s="31">
        <f t="shared" si="75"/>
        <v>51849.999999999993</v>
      </c>
      <c r="BD31" s="55">
        <f t="shared" si="38"/>
        <v>157.83750000000001</v>
      </c>
      <c r="BE31" s="55">
        <f t="shared" si="39"/>
        <v>210.45000000000002</v>
      </c>
      <c r="BF31" s="55">
        <f t="shared" si="40"/>
        <v>357.76499999999999</v>
      </c>
      <c r="BI31" s="55">
        <f t="shared" si="41"/>
        <v>821.21249999999998</v>
      </c>
      <c r="BJ31" s="55">
        <f t="shared" si="42"/>
        <v>1094.95</v>
      </c>
      <c r="BK31" s="55">
        <f t="shared" si="43"/>
        <v>1861.4149999999997</v>
      </c>
      <c r="BN31" s="56">
        <f t="shared" si="44"/>
        <v>295133.25</v>
      </c>
      <c r="BO31" s="56">
        <f t="shared" si="45"/>
        <v>393511</v>
      </c>
      <c r="BP31" s="56">
        <f t="shared" si="46"/>
        <v>668968.69999999995</v>
      </c>
      <c r="BR31" s="54"/>
    </row>
    <row r="32" spans="1:72" x14ac:dyDescent="0.2">
      <c r="A32" s="14">
        <v>42490</v>
      </c>
      <c r="B32" s="21" t="s">
        <v>73</v>
      </c>
      <c r="C32" s="17" t="s">
        <v>11</v>
      </c>
      <c r="D32" s="17" t="s">
        <v>12</v>
      </c>
      <c r="E32" s="18">
        <v>0.85</v>
      </c>
      <c r="F32" s="24">
        <v>1.75</v>
      </c>
      <c r="G32" s="20" t="s">
        <v>6</v>
      </c>
      <c r="H32" s="11">
        <v>25</v>
      </c>
      <c r="I32" s="17">
        <f t="shared" si="61"/>
        <v>2.4300000000000002</v>
      </c>
      <c r="J32" s="21">
        <f t="shared" si="62"/>
        <v>2.95</v>
      </c>
      <c r="K32" s="21">
        <f t="shared" si="63"/>
        <v>3.62</v>
      </c>
      <c r="L32" s="22">
        <f t="shared" si="47"/>
        <v>4.8600000000000003</v>
      </c>
      <c r="M32" s="22">
        <f t="shared" si="48"/>
        <v>6.0750000000000002</v>
      </c>
      <c r="N32" s="21">
        <f t="shared" si="49"/>
        <v>7.2900000000000009</v>
      </c>
      <c r="O32" s="22">
        <f t="shared" si="50"/>
        <v>8.5050000000000008</v>
      </c>
      <c r="P32" s="30">
        <f t="shared" si="64"/>
        <v>14.580000000000002</v>
      </c>
      <c r="Q32" s="30">
        <f t="shared" si="65"/>
        <v>16.402500000000003</v>
      </c>
      <c r="R32" s="30">
        <f t="shared" si="66"/>
        <v>17.313749999999999</v>
      </c>
      <c r="S32" s="30">
        <f t="shared" si="67"/>
        <v>17.009999999999998</v>
      </c>
      <c r="T32" s="30">
        <f t="shared" si="68"/>
        <v>18.225000000000001</v>
      </c>
      <c r="U32" s="17">
        <f t="shared" si="51"/>
        <v>24.3</v>
      </c>
      <c r="V32" s="30">
        <f t="shared" ref="V32:V38" si="76">I32*20</f>
        <v>48.6</v>
      </c>
      <c r="W32" s="21"/>
      <c r="X32" s="23">
        <f t="shared" si="53"/>
        <v>34020</v>
      </c>
      <c r="Y32" s="23">
        <f t="shared" si="69"/>
        <v>52488.000000000007</v>
      </c>
      <c r="Z32" s="23">
        <f t="shared" si="54"/>
        <v>58320.000000000007</v>
      </c>
      <c r="AA32" s="23">
        <f t="shared" si="55"/>
        <v>72900</v>
      </c>
      <c r="AB32" s="23">
        <f t="shared" si="55"/>
        <v>97200</v>
      </c>
      <c r="AC32" s="1" t="s">
        <v>45</v>
      </c>
      <c r="AE32" s="36">
        <f t="shared" si="56"/>
        <v>3.0300000000000002</v>
      </c>
      <c r="AF32" s="37">
        <f t="shared" si="70"/>
        <v>2942.13</v>
      </c>
      <c r="AG32" s="28">
        <f t="shared" si="57"/>
        <v>14157.180000000002</v>
      </c>
      <c r="AH32" s="28">
        <f t="shared" si="71"/>
        <v>17696.475000000002</v>
      </c>
      <c r="AI32" s="28">
        <f t="shared" si="71"/>
        <v>23595.3</v>
      </c>
      <c r="AJ32" s="28">
        <f t="shared" si="71"/>
        <v>47190.6</v>
      </c>
      <c r="AK32" s="38"/>
      <c r="AL32" s="39">
        <v>3.0300000000000002</v>
      </c>
      <c r="AM32" s="40">
        <f t="shared" si="72"/>
        <v>187.86</v>
      </c>
      <c r="AN32" s="28">
        <f t="shared" si="58"/>
        <v>903.96000000000015</v>
      </c>
      <c r="AO32" s="28">
        <f t="shared" si="73"/>
        <v>1129.95</v>
      </c>
      <c r="AP32" s="28">
        <f t="shared" si="73"/>
        <v>1506.6000000000001</v>
      </c>
      <c r="AQ32" s="28">
        <f t="shared" si="73"/>
        <v>3013.2000000000003</v>
      </c>
      <c r="AS32" s="28">
        <f t="shared" si="59"/>
        <v>112.26600000000002</v>
      </c>
      <c r="AT32" s="28">
        <f t="shared" si="74"/>
        <v>140.33250000000001</v>
      </c>
      <c r="AU32" s="28">
        <f t="shared" si="74"/>
        <v>187.11</v>
      </c>
      <c r="AV32" s="28">
        <f t="shared" si="74"/>
        <v>374.22</v>
      </c>
      <c r="AX32" s="31">
        <f t="shared" si="60"/>
        <v>7290.0000000000009</v>
      </c>
      <c r="AY32" s="31">
        <f t="shared" si="75"/>
        <v>9112.5</v>
      </c>
      <c r="AZ32" s="31">
        <f t="shared" si="75"/>
        <v>12150</v>
      </c>
      <c r="BA32" s="31">
        <f t="shared" si="75"/>
        <v>24300</v>
      </c>
      <c r="BD32" s="55">
        <f t="shared" si="38"/>
        <v>62.876250000000006</v>
      </c>
      <c r="BE32" s="55">
        <f t="shared" si="39"/>
        <v>83.835000000000008</v>
      </c>
      <c r="BF32" s="55">
        <f t="shared" si="40"/>
        <v>167.67000000000002</v>
      </c>
      <c r="BI32" s="55">
        <f t="shared" si="41"/>
        <v>327.13875000000002</v>
      </c>
      <c r="BJ32" s="55">
        <f t="shared" si="42"/>
        <v>436.185</v>
      </c>
      <c r="BK32" s="55">
        <f t="shared" si="43"/>
        <v>872.37</v>
      </c>
      <c r="BN32" s="56">
        <f t="shared" si="44"/>
        <v>117569.47500000001</v>
      </c>
      <c r="BO32" s="56">
        <f t="shared" si="45"/>
        <v>156759.30000000002</v>
      </c>
      <c r="BP32" s="56">
        <f t="shared" si="46"/>
        <v>313518.60000000003</v>
      </c>
      <c r="BR32" s="54"/>
    </row>
    <row r="33" spans="1:70" x14ac:dyDescent="0.2">
      <c r="A33" s="14">
        <v>42496</v>
      </c>
      <c r="B33" s="22" t="s">
        <v>74</v>
      </c>
      <c r="C33" s="17" t="s">
        <v>11</v>
      </c>
      <c r="D33" s="17" t="s">
        <v>10</v>
      </c>
      <c r="E33" s="18">
        <v>0.98</v>
      </c>
      <c r="F33" s="24">
        <v>2.3199999999999998</v>
      </c>
      <c r="G33" s="20" t="s">
        <v>6</v>
      </c>
      <c r="H33" s="17">
        <v>20</v>
      </c>
      <c r="I33" s="30">
        <f t="shared" si="61"/>
        <v>3</v>
      </c>
      <c r="J33" s="21">
        <f t="shared" si="62"/>
        <v>3.5199999999999996</v>
      </c>
      <c r="K33" s="21">
        <f t="shared" si="63"/>
        <v>4.1899999999999995</v>
      </c>
      <c r="L33" s="22">
        <f t="shared" si="47"/>
        <v>6</v>
      </c>
      <c r="M33" s="22">
        <f t="shared" si="48"/>
        <v>7.5</v>
      </c>
      <c r="N33" s="21">
        <f t="shared" si="49"/>
        <v>9</v>
      </c>
      <c r="O33" s="22">
        <f t="shared" si="50"/>
        <v>10.5</v>
      </c>
      <c r="P33" s="30">
        <f t="shared" si="64"/>
        <v>18</v>
      </c>
      <c r="Q33" s="30">
        <f t="shared" si="65"/>
        <v>20.25</v>
      </c>
      <c r="R33" s="30">
        <f t="shared" si="66"/>
        <v>21.375</v>
      </c>
      <c r="S33" s="30">
        <f t="shared" si="67"/>
        <v>21</v>
      </c>
      <c r="T33" s="30">
        <f t="shared" si="68"/>
        <v>22.5</v>
      </c>
      <c r="U33" s="17">
        <f t="shared" si="51"/>
        <v>30</v>
      </c>
      <c r="V33" s="30">
        <f t="shared" si="76"/>
        <v>60</v>
      </c>
      <c r="W33" s="21"/>
      <c r="X33" s="23">
        <f t="shared" si="53"/>
        <v>42000</v>
      </c>
      <c r="Y33" s="23">
        <f t="shared" si="69"/>
        <v>64800</v>
      </c>
      <c r="Z33" s="23">
        <f t="shared" si="54"/>
        <v>72000</v>
      </c>
      <c r="AA33" s="23">
        <f t="shared" si="55"/>
        <v>90000</v>
      </c>
      <c r="AB33" s="23">
        <f t="shared" si="55"/>
        <v>120000</v>
      </c>
      <c r="AC33" s="1" t="s">
        <v>45</v>
      </c>
      <c r="AE33" s="36">
        <f t="shared" si="56"/>
        <v>3.6</v>
      </c>
      <c r="AF33" s="37">
        <f t="shared" si="70"/>
        <v>3495.6</v>
      </c>
      <c r="AG33" s="28">
        <f t="shared" si="57"/>
        <v>17478</v>
      </c>
      <c r="AH33" s="28">
        <f t="shared" si="71"/>
        <v>21847.5</v>
      </c>
      <c r="AI33" s="28">
        <f t="shared" si="71"/>
        <v>29130</v>
      </c>
      <c r="AJ33" s="28">
        <f t="shared" si="71"/>
        <v>58260</v>
      </c>
      <c r="AK33" s="38"/>
      <c r="AL33" s="39">
        <v>3.6</v>
      </c>
      <c r="AM33" s="40">
        <f t="shared" si="72"/>
        <v>223.20000000000002</v>
      </c>
      <c r="AN33" s="28">
        <f t="shared" si="58"/>
        <v>1116</v>
      </c>
      <c r="AO33" s="28">
        <f t="shared" si="73"/>
        <v>1395</v>
      </c>
      <c r="AP33" s="28">
        <f t="shared" si="73"/>
        <v>1860</v>
      </c>
      <c r="AQ33" s="28">
        <f t="shared" si="73"/>
        <v>3720</v>
      </c>
      <c r="AS33" s="28">
        <f t="shared" si="59"/>
        <v>138.6</v>
      </c>
      <c r="AT33" s="28">
        <f t="shared" si="74"/>
        <v>173.25</v>
      </c>
      <c r="AU33" s="28">
        <f t="shared" si="74"/>
        <v>231</v>
      </c>
      <c r="AV33" s="28">
        <f t="shared" si="74"/>
        <v>462</v>
      </c>
      <c r="AX33" s="31">
        <f t="shared" si="60"/>
        <v>9000</v>
      </c>
      <c r="AY33" s="31">
        <f t="shared" si="75"/>
        <v>11250</v>
      </c>
      <c r="AZ33" s="31">
        <f t="shared" si="75"/>
        <v>15000</v>
      </c>
      <c r="BA33" s="31">
        <f t="shared" si="75"/>
        <v>30000</v>
      </c>
      <c r="BD33" s="55">
        <f t="shared" si="38"/>
        <v>77.625</v>
      </c>
      <c r="BE33" s="55">
        <f t="shared" si="39"/>
        <v>103.5</v>
      </c>
      <c r="BF33" s="55">
        <f t="shared" si="40"/>
        <v>207</v>
      </c>
      <c r="BI33" s="55">
        <f t="shared" si="41"/>
        <v>403.875</v>
      </c>
      <c r="BJ33" s="55">
        <f t="shared" si="42"/>
        <v>538.5</v>
      </c>
      <c r="BK33" s="55">
        <f t="shared" si="43"/>
        <v>1077</v>
      </c>
      <c r="BN33" s="56">
        <f t="shared" si="44"/>
        <v>145147.5</v>
      </c>
      <c r="BO33" s="56">
        <f t="shared" si="45"/>
        <v>193530</v>
      </c>
      <c r="BP33" s="56">
        <f t="shared" si="46"/>
        <v>387060</v>
      </c>
      <c r="BR33" s="54"/>
    </row>
    <row r="34" spans="1:70" x14ac:dyDescent="0.2">
      <c r="A34" s="14">
        <v>42498</v>
      </c>
      <c r="B34" s="21" t="s">
        <v>75</v>
      </c>
      <c r="C34" s="17" t="s">
        <v>4</v>
      </c>
      <c r="D34" s="17" t="s">
        <v>10</v>
      </c>
      <c r="E34" s="18">
        <v>1.17</v>
      </c>
      <c r="F34" s="24">
        <v>2.75</v>
      </c>
      <c r="G34" s="20" t="s">
        <v>6</v>
      </c>
      <c r="H34" s="11">
        <v>20</v>
      </c>
      <c r="I34" s="17">
        <f t="shared" si="61"/>
        <v>3.43</v>
      </c>
      <c r="J34" s="21">
        <f t="shared" si="62"/>
        <v>3.95</v>
      </c>
      <c r="K34" s="21">
        <f t="shared" si="63"/>
        <v>4.62</v>
      </c>
      <c r="L34" s="22">
        <f t="shared" si="47"/>
        <v>6.86</v>
      </c>
      <c r="M34" s="22">
        <f t="shared" si="48"/>
        <v>8.5750000000000011</v>
      </c>
      <c r="N34" s="21">
        <f t="shared" si="49"/>
        <v>10.290000000000001</v>
      </c>
      <c r="O34" s="22">
        <f t="shared" si="50"/>
        <v>12.005000000000001</v>
      </c>
      <c r="P34" s="30">
        <f t="shared" si="64"/>
        <v>20.580000000000002</v>
      </c>
      <c r="Q34" s="30">
        <f t="shared" si="65"/>
        <v>23.152500000000003</v>
      </c>
      <c r="R34" s="30">
        <f t="shared" si="66"/>
        <v>24.438749999999999</v>
      </c>
      <c r="S34" s="30">
        <f t="shared" si="67"/>
        <v>24.01</v>
      </c>
      <c r="T34" s="30">
        <f t="shared" si="68"/>
        <v>25.725000000000001</v>
      </c>
      <c r="U34" s="17">
        <f t="shared" si="51"/>
        <v>34.300000000000004</v>
      </c>
      <c r="V34" s="30">
        <f t="shared" si="76"/>
        <v>68.600000000000009</v>
      </c>
      <c r="W34" s="21"/>
      <c r="X34" s="23">
        <f t="shared" si="53"/>
        <v>48020</v>
      </c>
      <c r="Y34" s="23">
        <f t="shared" si="69"/>
        <v>74088.000000000015</v>
      </c>
      <c r="Z34" s="23">
        <f t="shared" si="54"/>
        <v>82320.000000000015</v>
      </c>
      <c r="AA34" s="23">
        <f t="shared" si="55"/>
        <v>102900</v>
      </c>
      <c r="AB34" s="23">
        <f t="shared" si="55"/>
        <v>137200.00000000003</v>
      </c>
      <c r="AC34" s="1" t="s">
        <v>45</v>
      </c>
      <c r="AE34" s="36">
        <f t="shared" si="56"/>
        <v>4.03</v>
      </c>
      <c r="AF34" s="37">
        <f t="shared" si="70"/>
        <v>3913.13</v>
      </c>
      <c r="AG34" s="28">
        <f t="shared" si="57"/>
        <v>19983.18</v>
      </c>
      <c r="AH34" s="28">
        <f t="shared" si="71"/>
        <v>24978.975000000002</v>
      </c>
      <c r="AI34" s="28">
        <f t="shared" si="71"/>
        <v>33305.300000000003</v>
      </c>
      <c r="AJ34" s="28">
        <f t="shared" si="71"/>
        <v>66610.600000000006</v>
      </c>
      <c r="AK34" s="38"/>
      <c r="AL34" s="39">
        <v>4.03</v>
      </c>
      <c r="AM34" s="40">
        <f t="shared" si="72"/>
        <v>249.86</v>
      </c>
      <c r="AN34" s="28">
        <f t="shared" si="58"/>
        <v>1275.96</v>
      </c>
      <c r="AO34" s="28">
        <f t="shared" si="73"/>
        <v>1594.95</v>
      </c>
      <c r="AP34" s="28">
        <f t="shared" si="73"/>
        <v>2126.6000000000004</v>
      </c>
      <c r="AQ34" s="28">
        <f t="shared" si="73"/>
        <v>4253.2000000000007</v>
      </c>
      <c r="AS34" s="28">
        <f t="shared" si="59"/>
        <v>158.46600000000001</v>
      </c>
      <c r="AT34" s="28">
        <f t="shared" si="74"/>
        <v>198.08250000000001</v>
      </c>
      <c r="AU34" s="28">
        <f t="shared" si="74"/>
        <v>264.11</v>
      </c>
      <c r="AV34" s="28">
        <f t="shared" si="74"/>
        <v>528.22</v>
      </c>
      <c r="AX34" s="31">
        <f t="shared" si="60"/>
        <v>10290.000000000002</v>
      </c>
      <c r="AY34" s="31">
        <f t="shared" si="75"/>
        <v>12862.5</v>
      </c>
      <c r="AZ34" s="31">
        <f t="shared" si="75"/>
        <v>17150.000000000004</v>
      </c>
      <c r="BA34" s="31">
        <f t="shared" si="75"/>
        <v>34300.000000000007</v>
      </c>
      <c r="BD34" s="55">
        <f t="shared" si="38"/>
        <v>88.751250000000013</v>
      </c>
      <c r="BE34" s="55">
        <f t="shared" si="39"/>
        <v>118.33500000000002</v>
      </c>
      <c r="BF34" s="55">
        <f t="shared" si="40"/>
        <v>236.67000000000004</v>
      </c>
      <c r="BI34" s="55">
        <f t="shared" si="41"/>
        <v>461.76375000000002</v>
      </c>
      <c r="BJ34" s="55">
        <f t="shared" si="42"/>
        <v>615.68500000000006</v>
      </c>
      <c r="BK34" s="55">
        <f t="shared" si="43"/>
        <v>1231.3700000000001</v>
      </c>
      <c r="BN34" s="56">
        <f t="shared" si="44"/>
        <v>165951.97500000001</v>
      </c>
      <c r="BO34" s="56">
        <f t="shared" si="45"/>
        <v>221269.30000000002</v>
      </c>
      <c r="BP34" s="56">
        <f t="shared" si="46"/>
        <v>442538.60000000003</v>
      </c>
      <c r="BR34" s="54"/>
    </row>
    <row r="35" spans="1:70" x14ac:dyDescent="0.2">
      <c r="A35" s="14">
        <v>42500</v>
      </c>
      <c r="B35" s="21" t="s">
        <v>76</v>
      </c>
      <c r="C35" s="17" t="s">
        <v>8</v>
      </c>
      <c r="D35" s="17" t="s">
        <v>10</v>
      </c>
      <c r="E35" s="18">
        <v>1.34</v>
      </c>
      <c r="F35" s="24">
        <v>3.46</v>
      </c>
      <c r="G35" s="20" t="s">
        <v>6</v>
      </c>
      <c r="H35" s="11">
        <v>20</v>
      </c>
      <c r="I35" s="17">
        <f t="shared" si="61"/>
        <v>4.1399999999999997</v>
      </c>
      <c r="J35" s="21">
        <f t="shared" si="62"/>
        <v>4.66</v>
      </c>
      <c r="K35" s="21">
        <f t="shared" si="63"/>
        <v>5.33</v>
      </c>
      <c r="L35" s="22">
        <f t="shared" si="47"/>
        <v>8.2799999999999994</v>
      </c>
      <c r="M35" s="22">
        <f t="shared" si="48"/>
        <v>10.35</v>
      </c>
      <c r="N35" s="21">
        <f t="shared" si="49"/>
        <v>12.419999999999998</v>
      </c>
      <c r="O35" s="22">
        <f t="shared" si="50"/>
        <v>14.489999999999998</v>
      </c>
      <c r="P35" s="30">
        <f t="shared" si="64"/>
        <v>24.84</v>
      </c>
      <c r="Q35" s="30">
        <f t="shared" si="65"/>
        <v>27.944999999999997</v>
      </c>
      <c r="R35" s="30">
        <f t="shared" si="66"/>
        <v>29.497499999999995</v>
      </c>
      <c r="S35" s="30">
        <f t="shared" si="67"/>
        <v>28.979999999999997</v>
      </c>
      <c r="T35" s="30">
        <f t="shared" si="68"/>
        <v>31.049999999999997</v>
      </c>
      <c r="U35" s="17">
        <f t="shared" si="51"/>
        <v>41.4</v>
      </c>
      <c r="V35" s="30">
        <f t="shared" si="76"/>
        <v>82.8</v>
      </c>
      <c r="W35" s="21"/>
      <c r="X35" s="23">
        <f t="shared" si="53"/>
        <v>57959.999999999993</v>
      </c>
      <c r="Y35" s="23">
        <f t="shared" si="69"/>
        <v>89424</v>
      </c>
      <c r="Z35" s="23">
        <f t="shared" si="54"/>
        <v>99360</v>
      </c>
      <c r="AA35" s="23">
        <f t="shared" si="55"/>
        <v>124199.99999999999</v>
      </c>
      <c r="AB35" s="23">
        <f t="shared" si="55"/>
        <v>165600</v>
      </c>
      <c r="AC35" s="1" t="s">
        <v>45</v>
      </c>
      <c r="AE35" s="36">
        <f t="shared" si="56"/>
        <v>4.7399999999999993</v>
      </c>
      <c r="AF35" s="37">
        <f t="shared" si="70"/>
        <v>4602.5399999999991</v>
      </c>
      <c r="AG35" s="28">
        <f t="shared" si="57"/>
        <v>24119.64</v>
      </c>
      <c r="AH35" s="28">
        <f t="shared" si="71"/>
        <v>30149.549999999996</v>
      </c>
      <c r="AI35" s="28">
        <f t="shared" si="71"/>
        <v>40199.4</v>
      </c>
      <c r="AJ35" s="28">
        <f t="shared" si="71"/>
        <v>80398.8</v>
      </c>
      <c r="AK35" s="38"/>
      <c r="AL35" s="39">
        <v>4.7399999999999993</v>
      </c>
      <c r="AM35" s="40">
        <f t="shared" si="72"/>
        <v>293.87999999999994</v>
      </c>
      <c r="AN35" s="28">
        <f t="shared" si="58"/>
        <v>1540.08</v>
      </c>
      <c r="AO35" s="28">
        <f t="shared" si="73"/>
        <v>1925.1</v>
      </c>
      <c r="AP35" s="28">
        <f t="shared" si="73"/>
        <v>2566.7999999999997</v>
      </c>
      <c r="AQ35" s="28">
        <f t="shared" si="73"/>
        <v>5133.5999999999995</v>
      </c>
      <c r="AS35" s="28">
        <f t="shared" si="59"/>
        <v>191.268</v>
      </c>
      <c r="AT35" s="28">
        <f t="shared" si="74"/>
        <v>239.08499999999998</v>
      </c>
      <c r="AU35" s="28">
        <f t="shared" si="74"/>
        <v>318.77999999999997</v>
      </c>
      <c r="AV35" s="28">
        <f t="shared" si="74"/>
        <v>637.55999999999995</v>
      </c>
      <c r="AX35" s="31">
        <f t="shared" si="60"/>
        <v>12420</v>
      </c>
      <c r="AY35" s="31">
        <f t="shared" si="75"/>
        <v>15524.999999999998</v>
      </c>
      <c r="AZ35" s="31">
        <f t="shared" si="75"/>
        <v>20700</v>
      </c>
      <c r="BA35" s="31">
        <f t="shared" si="75"/>
        <v>41400</v>
      </c>
      <c r="BD35" s="55">
        <f t="shared" si="38"/>
        <v>107.1225</v>
      </c>
      <c r="BE35" s="55">
        <f t="shared" si="39"/>
        <v>142.83000000000001</v>
      </c>
      <c r="BF35" s="55">
        <f t="shared" si="40"/>
        <v>285.66000000000003</v>
      </c>
      <c r="BI35" s="55">
        <f t="shared" si="41"/>
        <v>557.34749999999997</v>
      </c>
      <c r="BJ35" s="55">
        <f t="shared" si="42"/>
        <v>743.13</v>
      </c>
      <c r="BK35" s="55">
        <f t="shared" si="43"/>
        <v>1486.26</v>
      </c>
      <c r="BN35" s="56">
        <f t="shared" si="44"/>
        <v>200303.55</v>
      </c>
      <c r="BO35" s="56">
        <f t="shared" si="45"/>
        <v>267071.39999999997</v>
      </c>
      <c r="BP35" s="56">
        <f t="shared" si="46"/>
        <v>534142.79999999993</v>
      </c>
      <c r="BR35" s="54"/>
    </row>
    <row r="36" spans="1:70" x14ac:dyDescent="0.2">
      <c r="A36" s="14">
        <v>42520</v>
      </c>
      <c r="B36" s="21" t="s">
        <v>77</v>
      </c>
      <c r="C36" s="17" t="s">
        <v>17</v>
      </c>
      <c r="D36" s="17" t="s">
        <v>10</v>
      </c>
      <c r="E36" s="18">
        <v>1.42</v>
      </c>
      <c r="F36" s="24">
        <v>3.85</v>
      </c>
      <c r="G36" s="20" t="s">
        <v>6</v>
      </c>
      <c r="H36" s="11">
        <v>50</v>
      </c>
      <c r="I36" s="17">
        <f t="shared" si="61"/>
        <v>4.53</v>
      </c>
      <c r="J36" s="21">
        <f t="shared" si="62"/>
        <v>5.05</v>
      </c>
      <c r="K36" s="21">
        <f t="shared" si="63"/>
        <v>5.7200000000000006</v>
      </c>
      <c r="L36" s="22">
        <f t="shared" si="47"/>
        <v>9.06</v>
      </c>
      <c r="M36" s="22">
        <f t="shared" si="48"/>
        <v>11.325000000000001</v>
      </c>
      <c r="N36" s="21">
        <f t="shared" si="49"/>
        <v>13.59</v>
      </c>
      <c r="O36" s="22">
        <f t="shared" si="50"/>
        <v>15.855</v>
      </c>
      <c r="P36" s="30">
        <f t="shared" si="64"/>
        <v>27.180000000000003</v>
      </c>
      <c r="Q36" s="30">
        <f t="shared" si="65"/>
        <v>30.577500000000001</v>
      </c>
      <c r="R36" s="30">
        <f t="shared" si="66"/>
        <v>32.276249999999997</v>
      </c>
      <c r="S36" s="30">
        <f t="shared" si="67"/>
        <v>31.71</v>
      </c>
      <c r="T36" s="30">
        <f t="shared" si="68"/>
        <v>33.975000000000001</v>
      </c>
      <c r="U36" s="17">
        <f t="shared" si="51"/>
        <v>45.300000000000004</v>
      </c>
      <c r="V36" s="30">
        <f t="shared" si="76"/>
        <v>90.600000000000009</v>
      </c>
      <c r="W36" s="21"/>
      <c r="X36" s="23">
        <f t="shared" si="53"/>
        <v>63420</v>
      </c>
      <c r="Y36" s="23"/>
      <c r="Z36" s="23">
        <f t="shared" si="54"/>
        <v>108720.00000000001</v>
      </c>
      <c r="AA36" s="23">
        <f t="shared" si="55"/>
        <v>135900</v>
      </c>
      <c r="AB36" s="23">
        <f t="shared" si="55"/>
        <v>181200.00000000003</v>
      </c>
      <c r="AC36" s="1" t="s">
        <v>45</v>
      </c>
      <c r="AE36" s="36">
        <f t="shared" si="56"/>
        <v>5.13</v>
      </c>
      <c r="AF36" s="37">
        <f t="shared" si="70"/>
        <v>4981.2299999999996</v>
      </c>
      <c r="AG36" s="28">
        <f t="shared" si="57"/>
        <v>26391.780000000002</v>
      </c>
      <c r="AH36" s="28">
        <f t="shared" si="71"/>
        <v>32989.724999999999</v>
      </c>
      <c r="AI36" s="28">
        <f t="shared" si="71"/>
        <v>43986.3</v>
      </c>
      <c r="AJ36" s="28">
        <f t="shared" si="71"/>
        <v>87972.6</v>
      </c>
      <c r="AK36" s="38"/>
      <c r="AL36" s="39">
        <v>5.13</v>
      </c>
      <c r="AM36" s="40">
        <f t="shared" si="72"/>
        <v>318.06</v>
      </c>
      <c r="AN36" s="28">
        <f t="shared" si="58"/>
        <v>1685.1600000000003</v>
      </c>
      <c r="AO36" s="28">
        <f t="shared" si="73"/>
        <v>2106.4500000000003</v>
      </c>
      <c r="AP36" s="28">
        <f t="shared" si="73"/>
        <v>2808.6000000000004</v>
      </c>
      <c r="AQ36" s="28">
        <f t="shared" si="73"/>
        <v>5617.2000000000007</v>
      </c>
      <c r="AS36" s="28">
        <f t="shared" si="59"/>
        <v>209.28600000000003</v>
      </c>
      <c r="AT36" s="28">
        <f t="shared" si="74"/>
        <v>261.60750000000002</v>
      </c>
      <c r="AU36" s="28">
        <f t="shared" si="74"/>
        <v>348.81000000000006</v>
      </c>
      <c r="AV36" s="28">
        <f t="shared" si="74"/>
        <v>697.62000000000012</v>
      </c>
      <c r="AX36" s="31">
        <f t="shared" si="60"/>
        <v>13590.000000000002</v>
      </c>
      <c r="AY36" s="31">
        <f t="shared" si="75"/>
        <v>16987.5</v>
      </c>
      <c r="AZ36" s="31">
        <f t="shared" si="75"/>
        <v>22650.000000000004</v>
      </c>
      <c r="BA36" s="31">
        <f t="shared" si="75"/>
        <v>45300.000000000007</v>
      </c>
      <c r="BD36" s="55">
        <f t="shared" si="38"/>
        <v>117.21375</v>
      </c>
      <c r="BE36" s="55">
        <f t="shared" si="39"/>
        <v>156.28500000000003</v>
      </c>
      <c r="BF36" s="55">
        <f t="shared" si="40"/>
        <v>312.57000000000005</v>
      </c>
      <c r="BI36" s="55">
        <f t="shared" si="41"/>
        <v>609.85125000000005</v>
      </c>
      <c r="BJ36" s="55">
        <f t="shared" si="42"/>
        <v>813.13499999999999</v>
      </c>
      <c r="BK36" s="55">
        <f t="shared" si="43"/>
        <v>1626.27</v>
      </c>
      <c r="BN36" s="56">
        <f t="shared" si="44"/>
        <v>219172.72500000001</v>
      </c>
      <c r="BO36" s="56">
        <f t="shared" si="45"/>
        <v>292230.30000000005</v>
      </c>
      <c r="BP36" s="56">
        <f t="shared" si="46"/>
        <v>584460.60000000009</v>
      </c>
      <c r="BR36" s="54"/>
    </row>
    <row r="37" spans="1:70" x14ac:dyDescent="0.2">
      <c r="A37" s="14">
        <v>42540</v>
      </c>
      <c r="B37" s="21" t="s">
        <v>78</v>
      </c>
      <c r="C37" s="17" t="s">
        <v>14</v>
      </c>
      <c r="D37" s="17" t="s">
        <v>10</v>
      </c>
      <c r="E37" s="18">
        <v>1.64</v>
      </c>
      <c r="F37" s="24">
        <v>4.3899999999999997</v>
      </c>
      <c r="G37" s="20" t="s">
        <v>6</v>
      </c>
      <c r="H37" s="17">
        <v>40</v>
      </c>
      <c r="I37" s="17">
        <f t="shared" si="61"/>
        <v>5.0699999999999994</v>
      </c>
      <c r="J37" s="21">
        <f t="shared" si="62"/>
        <v>5.59</v>
      </c>
      <c r="K37" s="21">
        <f t="shared" si="63"/>
        <v>6.26</v>
      </c>
      <c r="L37" s="22">
        <f t="shared" si="47"/>
        <v>10.139999999999999</v>
      </c>
      <c r="M37" s="22">
        <f t="shared" si="48"/>
        <v>12.674999999999999</v>
      </c>
      <c r="N37" s="21">
        <f t="shared" si="49"/>
        <v>15.209999999999997</v>
      </c>
      <c r="O37" s="22">
        <f t="shared" si="50"/>
        <v>17.744999999999997</v>
      </c>
      <c r="P37" s="30">
        <f t="shared" si="64"/>
        <v>30.42</v>
      </c>
      <c r="Q37" s="30">
        <f t="shared" si="65"/>
        <v>34.222499999999997</v>
      </c>
      <c r="R37" s="30">
        <f t="shared" si="66"/>
        <v>36.123749999999994</v>
      </c>
      <c r="S37" s="30">
        <f t="shared" si="67"/>
        <v>35.489999999999995</v>
      </c>
      <c r="T37" s="30">
        <f t="shared" si="68"/>
        <v>38.024999999999999</v>
      </c>
      <c r="U37" s="17">
        <f t="shared" si="51"/>
        <v>50.699999999999996</v>
      </c>
      <c r="V37" s="30">
        <f t="shared" si="76"/>
        <v>101.39999999999999</v>
      </c>
      <c r="W37" s="21"/>
      <c r="X37" s="23">
        <f t="shared" si="53"/>
        <v>70979.999999999985</v>
      </c>
      <c r="Y37" s="23"/>
      <c r="Z37" s="23">
        <f t="shared" si="54"/>
        <v>121680</v>
      </c>
      <c r="AA37" s="23">
        <f t="shared" si="55"/>
        <v>152100</v>
      </c>
      <c r="AB37" s="23">
        <f t="shared" si="55"/>
        <v>202799.99999999997</v>
      </c>
      <c r="AC37" s="1" t="s">
        <v>45</v>
      </c>
      <c r="AE37" s="36">
        <f t="shared" si="56"/>
        <v>5.669999999999999</v>
      </c>
      <c r="AF37" s="37">
        <f t="shared" si="70"/>
        <v>5505.5699999999988</v>
      </c>
      <c r="AG37" s="28">
        <f t="shared" si="57"/>
        <v>29537.820000000003</v>
      </c>
      <c r="AH37" s="28">
        <f t="shared" si="71"/>
        <v>36922.275000000001</v>
      </c>
      <c r="AI37" s="28">
        <f t="shared" si="71"/>
        <v>49229.7</v>
      </c>
      <c r="AJ37" s="28">
        <f t="shared" si="71"/>
        <v>98459.4</v>
      </c>
      <c r="AK37" s="38"/>
      <c r="AL37" s="39">
        <v>5.669999999999999</v>
      </c>
      <c r="AM37" s="40">
        <f t="shared" si="72"/>
        <v>351.53999999999996</v>
      </c>
      <c r="AN37" s="28">
        <f t="shared" si="58"/>
        <v>1886.0400000000002</v>
      </c>
      <c r="AO37" s="28">
        <f t="shared" si="73"/>
        <v>2357.5499999999997</v>
      </c>
      <c r="AP37" s="28">
        <f t="shared" si="73"/>
        <v>3143.3999999999996</v>
      </c>
      <c r="AQ37" s="28">
        <f t="shared" si="73"/>
        <v>6286.7999999999993</v>
      </c>
      <c r="AS37" s="28">
        <f t="shared" si="59"/>
        <v>234.23400000000001</v>
      </c>
      <c r="AT37" s="28">
        <f t="shared" si="74"/>
        <v>292.79250000000002</v>
      </c>
      <c r="AU37" s="28">
        <f t="shared" si="74"/>
        <v>390.39</v>
      </c>
      <c r="AV37" s="28">
        <f t="shared" si="74"/>
        <v>780.78</v>
      </c>
      <c r="AX37" s="31">
        <f t="shared" si="60"/>
        <v>15210</v>
      </c>
      <c r="AY37" s="31">
        <f t="shared" si="75"/>
        <v>19012.5</v>
      </c>
      <c r="AZ37" s="31">
        <f t="shared" si="75"/>
        <v>25349.999999999996</v>
      </c>
      <c r="BA37" s="31">
        <f t="shared" si="75"/>
        <v>50699.999999999993</v>
      </c>
      <c r="BD37" s="55">
        <f t="shared" si="38"/>
        <v>131.18625</v>
      </c>
      <c r="BE37" s="55">
        <f t="shared" si="39"/>
        <v>174.91499999999999</v>
      </c>
      <c r="BF37" s="55">
        <f t="shared" si="40"/>
        <v>349.83</v>
      </c>
      <c r="BI37" s="55">
        <f t="shared" si="41"/>
        <v>682.54874999999993</v>
      </c>
      <c r="BJ37" s="55">
        <f t="shared" si="42"/>
        <v>910.06499999999994</v>
      </c>
      <c r="BK37" s="55">
        <f t="shared" si="43"/>
        <v>1820.1299999999999</v>
      </c>
      <c r="BN37" s="56">
        <f t="shared" si="44"/>
        <v>245299.27499999999</v>
      </c>
      <c r="BO37" s="56">
        <f t="shared" si="45"/>
        <v>327065.69999999995</v>
      </c>
      <c r="BP37" s="56">
        <f t="shared" si="46"/>
        <v>654131.39999999991</v>
      </c>
      <c r="BR37" s="54"/>
    </row>
    <row r="38" spans="1:70" x14ac:dyDescent="0.2">
      <c r="A38" s="14">
        <v>42598</v>
      </c>
      <c r="B38" s="21" t="s">
        <v>79</v>
      </c>
      <c r="C38" s="17" t="s">
        <v>4</v>
      </c>
      <c r="D38" s="17" t="s">
        <v>10</v>
      </c>
      <c r="E38" s="18">
        <v>1.85</v>
      </c>
      <c r="F38" s="24">
        <v>3.66</v>
      </c>
      <c r="G38" s="20" t="s">
        <v>6</v>
      </c>
      <c r="H38" s="11">
        <v>20</v>
      </c>
      <c r="I38" s="17">
        <f t="shared" si="61"/>
        <v>4.34</v>
      </c>
      <c r="J38" s="21">
        <f t="shared" si="62"/>
        <v>4.8600000000000003</v>
      </c>
      <c r="K38" s="21">
        <f t="shared" si="63"/>
        <v>5.53</v>
      </c>
      <c r="L38" s="22">
        <f t="shared" si="47"/>
        <v>8.68</v>
      </c>
      <c r="M38" s="22">
        <f t="shared" si="48"/>
        <v>10.85</v>
      </c>
      <c r="N38" s="21">
        <f t="shared" si="49"/>
        <v>13.02</v>
      </c>
      <c r="O38" s="22">
        <f t="shared" si="50"/>
        <v>15.19</v>
      </c>
      <c r="P38" s="30">
        <f t="shared" si="64"/>
        <v>26.04</v>
      </c>
      <c r="Q38" s="30">
        <f t="shared" si="65"/>
        <v>29.294999999999998</v>
      </c>
      <c r="R38" s="30">
        <f t="shared" si="66"/>
        <v>30.922499999999996</v>
      </c>
      <c r="S38" s="30">
        <f t="shared" si="67"/>
        <v>30.379999999999995</v>
      </c>
      <c r="T38" s="30">
        <f t="shared" si="68"/>
        <v>32.549999999999997</v>
      </c>
      <c r="U38" s="17">
        <f t="shared" si="51"/>
        <v>43.4</v>
      </c>
      <c r="V38" s="30">
        <f t="shared" si="76"/>
        <v>86.8</v>
      </c>
      <c r="W38" s="21"/>
      <c r="X38" s="23">
        <f t="shared" si="53"/>
        <v>60760</v>
      </c>
      <c r="Y38" s="23"/>
      <c r="Z38" s="23">
        <f t="shared" si="54"/>
        <v>104160</v>
      </c>
      <c r="AA38" s="23">
        <f t="shared" si="55"/>
        <v>130199.99999999999</v>
      </c>
      <c r="AB38" s="23">
        <f t="shared" si="55"/>
        <v>173600</v>
      </c>
      <c r="AE38" s="36">
        <f t="shared" si="56"/>
        <v>4.9399999999999995</v>
      </c>
      <c r="AF38" s="37">
        <f t="shared" si="70"/>
        <v>4796.74</v>
      </c>
      <c r="AG38" s="28">
        <f t="shared" si="57"/>
        <v>25284.84</v>
      </c>
      <c r="AH38" s="28">
        <f t="shared" si="71"/>
        <v>31606.049999999996</v>
      </c>
      <c r="AI38" s="28">
        <f t="shared" si="71"/>
        <v>42141.4</v>
      </c>
      <c r="AJ38" s="28">
        <f t="shared" si="71"/>
        <v>84282.8</v>
      </c>
      <c r="AK38" s="38"/>
      <c r="AL38" s="39">
        <v>4.9399999999999995</v>
      </c>
      <c r="AM38" s="40">
        <f t="shared" si="72"/>
        <v>306.27999999999997</v>
      </c>
      <c r="AN38" s="28">
        <f t="shared" si="58"/>
        <v>1614.48</v>
      </c>
      <c r="AO38" s="28">
        <f t="shared" si="73"/>
        <v>2018.1</v>
      </c>
      <c r="AP38" s="28">
        <f t="shared" si="73"/>
        <v>2690.7999999999997</v>
      </c>
      <c r="AQ38" s="28">
        <f t="shared" si="73"/>
        <v>5381.5999999999995</v>
      </c>
      <c r="AS38" s="28">
        <f t="shared" si="59"/>
        <v>200.50800000000001</v>
      </c>
      <c r="AT38" s="28">
        <f t="shared" si="74"/>
        <v>250.63499999999999</v>
      </c>
      <c r="AU38" s="28">
        <f t="shared" si="74"/>
        <v>334.18</v>
      </c>
      <c r="AV38" s="28">
        <f t="shared" si="74"/>
        <v>668.36</v>
      </c>
      <c r="AX38" s="31">
        <f t="shared" si="60"/>
        <v>13020</v>
      </c>
      <c r="AY38" s="31">
        <f t="shared" si="75"/>
        <v>16274.999999999998</v>
      </c>
      <c r="AZ38" s="31">
        <f t="shared" si="75"/>
        <v>21700</v>
      </c>
      <c r="BA38" s="31">
        <f t="shared" si="75"/>
        <v>43400</v>
      </c>
      <c r="BD38" s="55">
        <f t="shared" si="38"/>
        <v>112.2975</v>
      </c>
      <c r="BE38" s="55">
        <f t="shared" si="39"/>
        <v>149.72999999999999</v>
      </c>
      <c r="BF38" s="55">
        <f t="shared" si="40"/>
        <v>299.45999999999998</v>
      </c>
      <c r="BI38" s="55">
        <f t="shared" si="41"/>
        <v>584.27249999999992</v>
      </c>
      <c r="BJ38" s="55">
        <f t="shared" si="42"/>
        <v>779.03</v>
      </c>
      <c r="BK38" s="55">
        <f t="shared" si="43"/>
        <v>1558.06</v>
      </c>
      <c r="BN38" s="56">
        <f t="shared" si="44"/>
        <v>209980.05</v>
      </c>
      <c r="BO38" s="56">
        <f t="shared" si="45"/>
        <v>279973.39999999997</v>
      </c>
      <c r="BP38" s="56">
        <f t="shared" si="46"/>
        <v>559946.79999999993</v>
      </c>
      <c r="BR38" s="54"/>
    </row>
    <row r="39" spans="1:70" x14ac:dyDescent="0.2">
      <c r="A39" s="14">
        <v>42600</v>
      </c>
      <c r="B39" s="22" t="s">
        <v>80</v>
      </c>
      <c r="C39" s="17" t="s">
        <v>8</v>
      </c>
      <c r="D39" s="17" t="s">
        <v>10</v>
      </c>
      <c r="E39" s="18">
        <v>1.95</v>
      </c>
      <c r="F39" s="24">
        <v>4.22</v>
      </c>
      <c r="G39" s="20" t="s">
        <v>6</v>
      </c>
      <c r="H39" s="17">
        <v>20</v>
      </c>
      <c r="I39" s="30">
        <f t="shared" si="61"/>
        <v>4.8999999999999995</v>
      </c>
      <c r="J39" s="21">
        <f t="shared" si="62"/>
        <v>5.42</v>
      </c>
      <c r="K39" s="21">
        <f t="shared" si="63"/>
        <v>6.09</v>
      </c>
      <c r="L39" s="22">
        <f t="shared" si="47"/>
        <v>9.7999999999999989</v>
      </c>
      <c r="M39" s="22">
        <f t="shared" si="48"/>
        <v>12.249999999999998</v>
      </c>
      <c r="N39" s="21">
        <f t="shared" si="49"/>
        <v>14.7</v>
      </c>
      <c r="O39" s="22">
        <f t="shared" si="50"/>
        <v>17.149999999999999</v>
      </c>
      <c r="P39" s="30">
        <f t="shared" si="64"/>
        <v>29.399999999999995</v>
      </c>
      <c r="Q39" s="30">
        <f t="shared" si="65"/>
        <v>33.074999999999996</v>
      </c>
      <c r="R39" s="30">
        <f t="shared" si="66"/>
        <v>34.912499999999994</v>
      </c>
      <c r="S39" s="30">
        <f t="shared" si="67"/>
        <v>34.29999999999999</v>
      </c>
      <c r="T39" s="30">
        <f t="shared" si="68"/>
        <v>36.749999999999993</v>
      </c>
      <c r="U39" s="17">
        <f t="shared" si="51"/>
        <v>48.999999999999993</v>
      </c>
      <c r="V39" s="30">
        <f>I39*19</f>
        <v>93.1</v>
      </c>
      <c r="W39" s="21" t="s">
        <v>53</v>
      </c>
      <c r="X39" s="23">
        <f t="shared" si="53"/>
        <v>68600</v>
      </c>
      <c r="Y39" s="23"/>
      <c r="Z39" s="23">
        <f t="shared" si="54"/>
        <v>117599.99999999999</v>
      </c>
      <c r="AA39" s="23">
        <f t="shared" si="55"/>
        <v>146999.99999999997</v>
      </c>
      <c r="AB39" s="23">
        <f t="shared" si="55"/>
        <v>195999.99999999997</v>
      </c>
      <c r="AE39" s="36">
        <f t="shared" si="56"/>
        <v>5.4999999999999991</v>
      </c>
      <c r="AF39" s="37">
        <f t="shared" si="70"/>
        <v>5340.4999999999991</v>
      </c>
      <c r="AG39" s="28">
        <f t="shared" si="57"/>
        <v>28547.399999999994</v>
      </c>
      <c r="AH39" s="28">
        <f t="shared" si="71"/>
        <v>35684.249999999993</v>
      </c>
      <c r="AI39" s="28">
        <f t="shared" si="71"/>
        <v>47578.999999999993</v>
      </c>
      <c r="AJ39" s="28">
        <f t="shared" si="71"/>
        <v>90400.099999999991</v>
      </c>
      <c r="AK39" s="38"/>
      <c r="AL39" s="39">
        <v>5.4999999999999991</v>
      </c>
      <c r="AM39" s="40">
        <f t="shared" si="72"/>
        <v>340.99999999999994</v>
      </c>
      <c r="AN39" s="28">
        <f t="shared" si="58"/>
        <v>1822.7999999999997</v>
      </c>
      <c r="AO39" s="28">
        <f t="shared" si="73"/>
        <v>2278.4999999999995</v>
      </c>
      <c r="AP39" s="28">
        <f t="shared" si="73"/>
        <v>3037.9999999999995</v>
      </c>
      <c r="AQ39" s="28">
        <f t="shared" si="73"/>
        <v>5772.2</v>
      </c>
      <c r="AS39" s="28">
        <f t="shared" si="59"/>
        <v>226.37999999999997</v>
      </c>
      <c r="AT39" s="28">
        <f t="shared" si="74"/>
        <v>282.97499999999997</v>
      </c>
      <c r="AU39" s="28">
        <f t="shared" si="74"/>
        <v>377.29999999999995</v>
      </c>
      <c r="AV39" s="28">
        <f t="shared" si="74"/>
        <v>716.87</v>
      </c>
      <c r="AX39" s="31">
        <f t="shared" si="60"/>
        <v>14699.999999999998</v>
      </c>
      <c r="AY39" s="31">
        <f t="shared" si="75"/>
        <v>18374.999999999996</v>
      </c>
      <c r="AZ39" s="31">
        <f t="shared" si="75"/>
        <v>24499.999999999996</v>
      </c>
      <c r="BA39" s="31">
        <f t="shared" si="75"/>
        <v>46550</v>
      </c>
      <c r="BD39" s="55">
        <f t="shared" si="38"/>
        <v>126.78749999999998</v>
      </c>
      <c r="BE39" s="55">
        <f t="shared" si="39"/>
        <v>169.04999999999998</v>
      </c>
      <c r="BF39" s="55">
        <f t="shared" si="40"/>
        <v>321.19499999999999</v>
      </c>
      <c r="BI39" s="55">
        <f t="shared" si="41"/>
        <v>659.6624999999998</v>
      </c>
      <c r="BJ39" s="55">
        <f t="shared" si="42"/>
        <v>879.54999999999984</v>
      </c>
      <c r="BK39" s="55">
        <f t="shared" si="43"/>
        <v>1671.1449999999998</v>
      </c>
      <c r="BN39" s="56">
        <f t="shared" si="44"/>
        <v>237074.24999999994</v>
      </c>
      <c r="BO39" s="56">
        <f t="shared" si="45"/>
        <v>316098.99999999994</v>
      </c>
      <c r="BP39" s="56">
        <f t="shared" si="46"/>
        <v>600588.1</v>
      </c>
      <c r="BR39" s="54"/>
    </row>
    <row r="40" spans="1:70" x14ac:dyDescent="0.2">
      <c r="A40" s="14">
        <v>42687</v>
      </c>
      <c r="B40" s="53" t="s">
        <v>154</v>
      </c>
      <c r="C40" s="17" t="s">
        <v>19</v>
      </c>
      <c r="D40" s="17" t="s">
        <v>12</v>
      </c>
      <c r="E40" s="18">
        <v>0.56000000000000005</v>
      </c>
      <c r="F40" s="25">
        <v>1.1299999999999999</v>
      </c>
      <c r="G40" s="17"/>
      <c r="H40" s="11">
        <v>20</v>
      </c>
      <c r="I40" s="17">
        <f t="shared" si="61"/>
        <v>1.81</v>
      </c>
      <c r="J40" s="21">
        <f t="shared" si="62"/>
        <v>2.33</v>
      </c>
      <c r="K40" s="22">
        <f t="shared" si="63"/>
        <v>3</v>
      </c>
      <c r="L40" s="22">
        <f t="shared" si="47"/>
        <v>3.62</v>
      </c>
      <c r="M40" s="22">
        <f t="shared" si="48"/>
        <v>4.5250000000000004</v>
      </c>
      <c r="N40" s="21">
        <f t="shared" si="49"/>
        <v>5.43</v>
      </c>
      <c r="O40" s="22">
        <f t="shared" si="50"/>
        <v>6.335</v>
      </c>
      <c r="P40" s="30">
        <f t="shared" si="64"/>
        <v>10.860000000000001</v>
      </c>
      <c r="Q40" s="30">
        <f t="shared" si="65"/>
        <v>12.217500000000001</v>
      </c>
      <c r="R40" s="30">
        <f t="shared" si="66"/>
        <v>12.89625</v>
      </c>
      <c r="S40" s="30">
        <f t="shared" si="67"/>
        <v>12.67</v>
      </c>
      <c r="T40" s="30">
        <f t="shared" si="68"/>
        <v>13.575000000000001</v>
      </c>
      <c r="U40" s="17">
        <f t="shared" si="51"/>
        <v>18.100000000000001</v>
      </c>
      <c r="V40" s="30">
        <f t="shared" ref="V40:V55" si="77">I40*20</f>
        <v>36.200000000000003</v>
      </c>
      <c r="W40" s="21"/>
      <c r="X40" s="23">
        <f t="shared" si="53"/>
        <v>25340</v>
      </c>
      <c r="Y40" s="23"/>
      <c r="Z40" s="23">
        <f t="shared" si="54"/>
        <v>43440.000000000007</v>
      </c>
      <c r="AA40" s="23">
        <f t="shared" si="55"/>
        <v>54300.000000000007</v>
      </c>
      <c r="AB40" s="23">
        <f t="shared" si="55"/>
        <v>72400</v>
      </c>
      <c r="AE40" s="36">
        <f t="shared" si="56"/>
        <v>2.41</v>
      </c>
      <c r="AF40" s="37">
        <f t="shared" si="70"/>
        <v>2340.11</v>
      </c>
      <c r="AG40" s="28">
        <f t="shared" si="57"/>
        <v>10545.060000000001</v>
      </c>
      <c r="AH40" s="28">
        <f t="shared" si="71"/>
        <v>13181.325000000001</v>
      </c>
      <c r="AI40" s="28">
        <f t="shared" si="71"/>
        <v>17575.100000000002</v>
      </c>
      <c r="AJ40" s="28">
        <f t="shared" si="71"/>
        <v>35150.200000000004</v>
      </c>
      <c r="AK40" s="38"/>
      <c r="AL40" s="39">
        <v>2.41</v>
      </c>
      <c r="AM40" s="40">
        <f t="shared" si="72"/>
        <v>149.42000000000002</v>
      </c>
      <c r="AN40" s="28">
        <f t="shared" si="58"/>
        <v>673.32</v>
      </c>
      <c r="AO40" s="28">
        <f t="shared" si="73"/>
        <v>841.65000000000009</v>
      </c>
      <c r="AP40" s="28">
        <f t="shared" si="73"/>
        <v>1122.2</v>
      </c>
      <c r="AQ40" s="28">
        <f t="shared" si="73"/>
        <v>2244.4</v>
      </c>
      <c r="AS40" s="28">
        <f t="shared" si="59"/>
        <v>83.622000000000014</v>
      </c>
      <c r="AT40" s="28">
        <f t="shared" si="74"/>
        <v>104.52750000000002</v>
      </c>
      <c r="AU40" s="28">
        <f t="shared" si="74"/>
        <v>139.37</v>
      </c>
      <c r="AV40" s="28">
        <f t="shared" si="74"/>
        <v>278.74</v>
      </c>
      <c r="AX40" s="31">
        <f t="shared" si="60"/>
        <v>5430.0000000000009</v>
      </c>
      <c r="AY40" s="31">
        <f t="shared" si="75"/>
        <v>6787.5000000000009</v>
      </c>
      <c r="AZ40" s="31">
        <f t="shared" si="75"/>
        <v>9050</v>
      </c>
      <c r="BA40" s="31">
        <f t="shared" si="75"/>
        <v>18100</v>
      </c>
      <c r="BD40" s="55">
        <f t="shared" si="38"/>
        <v>46.833750000000009</v>
      </c>
      <c r="BE40" s="55">
        <f t="shared" si="39"/>
        <v>62.445000000000007</v>
      </c>
      <c r="BF40" s="55">
        <f t="shared" si="40"/>
        <v>124.89000000000001</v>
      </c>
      <c r="BI40" s="55">
        <f t="shared" si="41"/>
        <v>243.67125000000001</v>
      </c>
      <c r="BJ40" s="55">
        <f t="shared" si="42"/>
        <v>324.89500000000004</v>
      </c>
      <c r="BK40" s="55">
        <f t="shared" si="43"/>
        <v>649.79000000000008</v>
      </c>
      <c r="BN40" s="56">
        <f t="shared" si="44"/>
        <v>87572.325000000012</v>
      </c>
      <c r="BO40" s="56">
        <f t="shared" si="45"/>
        <v>116763.1</v>
      </c>
      <c r="BP40" s="56">
        <f t="shared" si="46"/>
        <v>233526.2</v>
      </c>
      <c r="BR40" s="54"/>
    </row>
    <row r="41" spans="1:70" x14ac:dyDescent="0.2">
      <c r="A41" s="14">
        <v>42689</v>
      </c>
      <c r="B41" s="53" t="s">
        <v>155</v>
      </c>
      <c r="C41" s="34" t="s">
        <v>19</v>
      </c>
      <c r="D41" s="34" t="s">
        <v>61</v>
      </c>
      <c r="E41" s="18"/>
      <c r="F41" s="25">
        <v>0.56000000000000005</v>
      </c>
      <c r="G41" s="17"/>
      <c r="H41" s="11"/>
      <c r="I41" s="17">
        <f t="shared" si="61"/>
        <v>1.2400000000000002</v>
      </c>
      <c r="J41" s="21">
        <f t="shared" si="62"/>
        <v>1.76</v>
      </c>
      <c r="K41" s="22">
        <f t="shared" si="63"/>
        <v>2.4300000000000002</v>
      </c>
      <c r="L41" s="22">
        <f t="shared" si="47"/>
        <v>2.4800000000000004</v>
      </c>
      <c r="M41" s="22">
        <f t="shared" si="48"/>
        <v>3.1000000000000005</v>
      </c>
      <c r="N41" s="21">
        <f t="shared" si="49"/>
        <v>3.7200000000000006</v>
      </c>
      <c r="O41" s="22">
        <f t="shared" si="50"/>
        <v>4.3400000000000007</v>
      </c>
      <c r="P41" s="30">
        <f t="shared" si="64"/>
        <v>7.4400000000000013</v>
      </c>
      <c r="Q41" s="30">
        <f t="shared" si="65"/>
        <v>8.370000000000001</v>
      </c>
      <c r="R41" s="30">
        <f t="shared" si="66"/>
        <v>8.8350000000000009</v>
      </c>
      <c r="S41" s="30">
        <f t="shared" si="67"/>
        <v>8.6800000000000015</v>
      </c>
      <c r="T41" s="30">
        <f t="shared" si="68"/>
        <v>9.3000000000000007</v>
      </c>
      <c r="U41" s="17">
        <f t="shared" si="51"/>
        <v>12.400000000000002</v>
      </c>
      <c r="V41" s="30">
        <f t="shared" si="77"/>
        <v>24.800000000000004</v>
      </c>
      <c r="W41" s="21"/>
      <c r="X41" s="23">
        <f t="shared" si="53"/>
        <v>17360.000000000004</v>
      </c>
      <c r="Y41" s="23"/>
      <c r="Z41" s="23">
        <f t="shared" si="54"/>
        <v>29760.000000000004</v>
      </c>
      <c r="AA41" s="23">
        <f t="shared" si="55"/>
        <v>37200</v>
      </c>
      <c r="AB41" s="23">
        <f t="shared" si="55"/>
        <v>49600.000000000007</v>
      </c>
      <c r="AE41" s="36">
        <f t="shared" si="56"/>
        <v>1.8400000000000003</v>
      </c>
      <c r="AF41" s="37">
        <f t="shared" si="70"/>
        <v>1786.6400000000003</v>
      </c>
      <c r="AG41" s="28">
        <f t="shared" si="57"/>
        <v>7224.2400000000016</v>
      </c>
      <c r="AH41" s="28">
        <f t="shared" si="71"/>
        <v>9030.3000000000011</v>
      </c>
      <c r="AI41" s="28">
        <f t="shared" si="71"/>
        <v>12040.400000000001</v>
      </c>
      <c r="AJ41" s="28">
        <f t="shared" si="71"/>
        <v>24080.800000000003</v>
      </c>
      <c r="AK41" s="38"/>
      <c r="AL41" s="39">
        <v>1.8400000000000003</v>
      </c>
      <c r="AM41" s="40">
        <f t="shared" si="72"/>
        <v>114.08000000000001</v>
      </c>
      <c r="AN41" s="28">
        <f t="shared" si="58"/>
        <v>461.28000000000009</v>
      </c>
      <c r="AO41" s="28">
        <f t="shared" si="73"/>
        <v>576.6</v>
      </c>
      <c r="AP41" s="28">
        <f t="shared" si="73"/>
        <v>768.80000000000018</v>
      </c>
      <c r="AQ41" s="28">
        <f t="shared" si="73"/>
        <v>1537.6000000000004</v>
      </c>
      <c r="AS41" s="28">
        <f t="shared" si="59"/>
        <v>57.288000000000011</v>
      </c>
      <c r="AT41" s="28">
        <f t="shared" si="74"/>
        <v>71.610000000000014</v>
      </c>
      <c r="AU41" s="28">
        <f t="shared" si="74"/>
        <v>95.480000000000018</v>
      </c>
      <c r="AV41" s="28">
        <f t="shared" si="74"/>
        <v>190.96000000000004</v>
      </c>
      <c r="AX41" s="31">
        <f t="shared" si="60"/>
        <v>3720.0000000000005</v>
      </c>
      <c r="AY41" s="31">
        <f t="shared" si="75"/>
        <v>4650</v>
      </c>
      <c r="AZ41" s="31">
        <f t="shared" si="75"/>
        <v>6200.0000000000009</v>
      </c>
      <c r="BA41" s="31">
        <f t="shared" si="75"/>
        <v>12400.000000000002</v>
      </c>
      <c r="BD41" s="55">
        <f t="shared" si="38"/>
        <v>32.085000000000001</v>
      </c>
      <c r="BE41" s="55">
        <f t="shared" si="39"/>
        <v>42.780000000000008</v>
      </c>
      <c r="BF41" s="55">
        <f t="shared" si="40"/>
        <v>85.560000000000016</v>
      </c>
      <c r="BI41" s="55">
        <f t="shared" si="41"/>
        <v>166.935</v>
      </c>
      <c r="BJ41" s="55">
        <f t="shared" si="42"/>
        <v>222.58000000000004</v>
      </c>
      <c r="BK41" s="55">
        <f t="shared" si="43"/>
        <v>445.16000000000008</v>
      </c>
      <c r="BN41" s="56">
        <f t="shared" si="44"/>
        <v>59994.3</v>
      </c>
      <c r="BO41" s="56">
        <f t="shared" si="45"/>
        <v>79992.400000000009</v>
      </c>
      <c r="BP41" s="56">
        <f t="shared" si="46"/>
        <v>159984.80000000002</v>
      </c>
      <c r="BR41" s="54"/>
    </row>
    <row r="42" spans="1:70" x14ac:dyDescent="0.2">
      <c r="A42" s="14">
        <v>42693</v>
      </c>
      <c r="B42" s="53" t="s">
        <v>156</v>
      </c>
      <c r="C42" s="17" t="s">
        <v>11</v>
      </c>
      <c r="D42" s="17" t="s">
        <v>10</v>
      </c>
      <c r="E42" s="18">
        <v>0.55000000000000004</v>
      </c>
      <c r="F42" s="25">
        <v>1.42</v>
      </c>
      <c r="G42" s="17"/>
      <c r="H42" s="11">
        <v>20</v>
      </c>
      <c r="I42" s="17">
        <f t="shared" si="61"/>
        <v>2.1</v>
      </c>
      <c r="J42" s="21">
        <f t="shared" si="62"/>
        <v>2.62</v>
      </c>
      <c r="K42" s="22">
        <f t="shared" si="63"/>
        <v>3.29</v>
      </c>
      <c r="L42" s="22">
        <f t="shared" si="47"/>
        <v>4.2</v>
      </c>
      <c r="M42" s="22">
        <f t="shared" si="48"/>
        <v>5.25</v>
      </c>
      <c r="N42" s="21">
        <f t="shared" si="49"/>
        <v>6.3000000000000007</v>
      </c>
      <c r="O42" s="22">
        <f t="shared" si="50"/>
        <v>7.3500000000000005</v>
      </c>
      <c r="P42" s="30">
        <f t="shared" si="64"/>
        <v>12.600000000000001</v>
      </c>
      <c r="Q42" s="30">
        <f t="shared" si="65"/>
        <v>14.175000000000001</v>
      </c>
      <c r="R42" s="30">
        <f t="shared" si="66"/>
        <v>14.962499999999999</v>
      </c>
      <c r="S42" s="30">
        <f t="shared" si="67"/>
        <v>14.7</v>
      </c>
      <c r="T42" s="30">
        <f t="shared" si="68"/>
        <v>15.75</v>
      </c>
      <c r="U42" s="17">
        <f t="shared" si="51"/>
        <v>21</v>
      </c>
      <c r="V42" s="30">
        <f t="shared" si="77"/>
        <v>42</v>
      </c>
      <c r="W42" s="21"/>
      <c r="X42" s="23">
        <f t="shared" si="53"/>
        <v>29400.000000000004</v>
      </c>
      <c r="Y42" s="23"/>
      <c r="Z42" s="23">
        <f t="shared" si="54"/>
        <v>50400.000000000007</v>
      </c>
      <c r="AA42" s="23">
        <f t="shared" si="55"/>
        <v>63000</v>
      </c>
      <c r="AB42" s="23">
        <f t="shared" si="55"/>
        <v>84000</v>
      </c>
      <c r="AE42" s="36">
        <f t="shared" si="56"/>
        <v>2.7</v>
      </c>
      <c r="AF42" s="37">
        <f t="shared" si="70"/>
        <v>2621.7000000000003</v>
      </c>
      <c r="AG42" s="28">
        <f t="shared" si="57"/>
        <v>12234.600000000002</v>
      </c>
      <c r="AH42" s="28">
        <f t="shared" si="71"/>
        <v>15293.25</v>
      </c>
      <c r="AI42" s="28">
        <f t="shared" si="71"/>
        <v>20391</v>
      </c>
      <c r="AJ42" s="28">
        <f t="shared" si="71"/>
        <v>40782</v>
      </c>
      <c r="AK42" s="38"/>
      <c r="AL42" s="39">
        <v>2.7</v>
      </c>
      <c r="AM42" s="40">
        <f t="shared" si="72"/>
        <v>167.4</v>
      </c>
      <c r="AN42" s="28">
        <f t="shared" si="58"/>
        <v>781.2</v>
      </c>
      <c r="AO42" s="28">
        <f t="shared" si="73"/>
        <v>976.5</v>
      </c>
      <c r="AP42" s="28">
        <f t="shared" si="73"/>
        <v>1302</v>
      </c>
      <c r="AQ42" s="28">
        <f t="shared" si="73"/>
        <v>2604</v>
      </c>
      <c r="AS42" s="28">
        <f t="shared" si="59"/>
        <v>97.02000000000001</v>
      </c>
      <c r="AT42" s="28">
        <f t="shared" si="74"/>
        <v>121.27500000000001</v>
      </c>
      <c r="AU42" s="28">
        <f t="shared" si="74"/>
        <v>161.70000000000002</v>
      </c>
      <c r="AV42" s="28">
        <f t="shared" si="74"/>
        <v>323.40000000000003</v>
      </c>
      <c r="AX42" s="31">
        <f t="shared" si="60"/>
        <v>6300.0000000000009</v>
      </c>
      <c r="AY42" s="31">
        <f t="shared" si="75"/>
        <v>7875</v>
      </c>
      <c r="AZ42" s="31">
        <f t="shared" si="75"/>
        <v>10500</v>
      </c>
      <c r="BA42" s="31">
        <f t="shared" si="75"/>
        <v>21000</v>
      </c>
      <c r="BD42" s="55">
        <f t="shared" si="38"/>
        <v>54.337500000000006</v>
      </c>
      <c r="BE42" s="55">
        <f t="shared" si="39"/>
        <v>72.45</v>
      </c>
      <c r="BF42" s="55">
        <f t="shared" si="40"/>
        <v>144.9</v>
      </c>
      <c r="BI42" s="55">
        <f t="shared" si="41"/>
        <v>282.71249999999998</v>
      </c>
      <c r="BJ42" s="55">
        <f t="shared" si="42"/>
        <v>376.95</v>
      </c>
      <c r="BK42" s="55">
        <f t="shared" si="43"/>
        <v>753.9</v>
      </c>
      <c r="BN42" s="56">
        <f t="shared" si="44"/>
        <v>101603.25</v>
      </c>
      <c r="BO42" s="56">
        <f t="shared" si="45"/>
        <v>135471</v>
      </c>
      <c r="BP42" s="56">
        <f t="shared" si="46"/>
        <v>270942</v>
      </c>
      <c r="BR42" s="54"/>
    </row>
    <row r="43" spans="1:70" x14ac:dyDescent="0.2">
      <c r="A43" s="6">
        <v>42694</v>
      </c>
      <c r="B43" s="53" t="s">
        <v>157</v>
      </c>
      <c r="C43" s="17" t="s">
        <v>11</v>
      </c>
      <c r="D43" s="17" t="s">
        <v>10</v>
      </c>
      <c r="E43" s="26">
        <v>0.55000000000000004</v>
      </c>
      <c r="F43" s="25">
        <v>0.65</v>
      </c>
      <c r="G43" s="17"/>
      <c r="H43" s="11">
        <v>10</v>
      </c>
      <c r="I43" s="17">
        <f t="shared" si="61"/>
        <v>1.33</v>
      </c>
      <c r="J43" s="21">
        <f t="shared" si="62"/>
        <v>1.85</v>
      </c>
      <c r="K43" s="22">
        <f t="shared" si="63"/>
        <v>2.52</v>
      </c>
      <c r="L43" s="22">
        <f t="shared" si="47"/>
        <v>2.66</v>
      </c>
      <c r="M43" s="22">
        <f t="shared" si="48"/>
        <v>3.3250000000000002</v>
      </c>
      <c r="N43" s="22">
        <f t="shared" si="49"/>
        <v>3.99</v>
      </c>
      <c r="O43" s="22">
        <f t="shared" si="50"/>
        <v>4.6550000000000002</v>
      </c>
      <c r="P43" s="30">
        <f t="shared" si="64"/>
        <v>7.9800000000000013</v>
      </c>
      <c r="Q43" s="30">
        <f t="shared" si="65"/>
        <v>8.9775000000000009</v>
      </c>
      <c r="R43" s="30">
        <f t="shared" si="66"/>
        <v>9.4762500000000003</v>
      </c>
      <c r="S43" s="30">
        <f t="shared" si="67"/>
        <v>9.31</v>
      </c>
      <c r="T43" s="30">
        <f t="shared" si="68"/>
        <v>9.9750000000000014</v>
      </c>
      <c r="U43" s="17">
        <f t="shared" si="51"/>
        <v>13.3</v>
      </c>
      <c r="V43" s="30">
        <f t="shared" si="77"/>
        <v>26.6</v>
      </c>
      <c r="W43" s="21"/>
      <c r="X43" s="23">
        <f t="shared" si="53"/>
        <v>18620</v>
      </c>
      <c r="Y43" s="23"/>
      <c r="Z43" s="23">
        <f t="shared" si="54"/>
        <v>31920.000000000004</v>
      </c>
      <c r="AA43" s="23">
        <f t="shared" si="55"/>
        <v>39900.000000000007</v>
      </c>
      <c r="AB43" s="23">
        <f t="shared" si="55"/>
        <v>53200</v>
      </c>
      <c r="AE43" s="36">
        <f t="shared" si="56"/>
        <v>1.9300000000000002</v>
      </c>
      <c r="AF43" s="37">
        <f t="shared" si="70"/>
        <v>1874.0300000000002</v>
      </c>
      <c r="AG43" s="28">
        <f t="shared" si="57"/>
        <v>7748.5800000000008</v>
      </c>
      <c r="AH43" s="28">
        <f t="shared" si="71"/>
        <v>9685.7250000000022</v>
      </c>
      <c r="AI43" s="28">
        <f t="shared" si="71"/>
        <v>12914.300000000001</v>
      </c>
      <c r="AJ43" s="28">
        <f t="shared" si="71"/>
        <v>25828.600000000002</v>
      </c>
      <c r="AK43" s="38"/>
      <c r="AL43" s="39">
        <v>1.9300000000000002</v>
      </c>
      <c r="AM43" s="40">
        <f t="shared" si="72"/>
        <v>119.66000000000001</v>
      </c>
      <c r="AN43" s="28">
        <f t="shared" si="58"/>
        <v>494.7600000000001</v>
      </c>
      <c r="AO43" s="28">
        <f t="shared" si="73"/>
        <v>618.45000000000005</v>
      </c>
      <c r="AP43" s="28">
        <f t="shared" si="73"/>
        <v>824.6</v>
      </c>
      <c r="AQ43" s="28">
        <f t="shared" si="73"/>
        <v>1649.2</v>
      </c>
      <c r="AS43" s="28">
        <f t="shared" si="59"/>
        <v>61.446000000000012</v>
      </c>
      <c r="AT43" s="28">
        <f t="shared" si="74"/>
        <v>76.807500000000019</v>
      </c>
      <c r="AU43" s="28">
        <f t="shared" si="74"/>
        <v>102.41000000000001</v>
      </c>
      <c r="AV43" s="28">
        <f t="shared" si="74"/>
        <v>204.82000000000002</v>
      </c>
      <c r="AX43" s="31">
        <f t="shared" si="60"/>
        <v>3990.0000000000005</v>
      </c>
      <c r="AY43" s="31">
        <f t="shared" si="75"/>
        <v>4987.5000000000009</v>
      </c>
      <c r="AZ43" s="31">
        <f t="shared" si="75"/>
        <v>6650</v>
      </c>
      <c r="BA43" s="31">
        <f t="shared" si="75"/>
        <v>13300</v>
      </c>
      <c r="BD43" s="55">
        <f t="shared" si="38"/>
        <v>34.413750000000007</v>
      </c>
      <c r="BE43" s="55">
        <f t="shared" si="39"/>
        <v>45.885000000000005</v>
      </c>
      <c r="BF43" s="55">
        <f t="shared" si="40"/>
        <v>91.77000000000001</v>
      </c>
      <c r="BI43" s="55">
        <f t="shared" si="41"/>
        <v>179.05125000000001</v>
      </c>
      <c r="BJ43" s="55">
        <f t="shared" si="42"/>
        <v>238.73500000000001</v>
      </c>
      <c r="BK43" s="55">
        <f t="shared" si="43"/>
        <v>477.47</v>
      </c>
      <c r="BN43" s="56">
        <f t="shared" si="44"/>
        <v>64348.725000000006</v>
      </c>
      <c r="BO43" s="56">
        <f t="shared" si="45"/>
        <v>85798.3</v>
      </c>
      <c r="BP43" s="56">
        <f t="shared" si="46"/>
        <v>171596.6</v>
      </c>
      <c r="BR43" s="54"/>
    </row>
    <row r="44" spans="1:70" x14ac:dyDescent="0.2">
      <c r="A44" s="14">
        <v>42695</v>
      </c>
      <c r="B44" s="53" t="s">
        <v>158</v>
      </c>
      <c r="C44" s="17" t="s">
        <v>4</v>
      </c>
      <c r="D44" s="17" t="s">
        <v>10</v>
      </c>
      <c r="E44" s="18">
        <v>0.86</v>
      </c>
      <c r="F44" s="25">
        <v>1.86</v>
      </c>
      <c r="G44" s="17"/>
      <c r="H44" s="11">
        <v>20</v>
      </c>
      <c r="I44" s="17">
        <f t="shared" si="61"/>
        <v>2.54</v>
      </c>
      <c r="J44" s="21">
        <f t="shared" si="62"/>
        <v>3.06</v>
      </c>
      <c r="K44" s="22">
        <f t="shared" si="63"/>
        <v>3.7300000000000004</v>
      </c>
      <c r="L44" s="22">
        <f t="shared" si="47"/>
        <v>5.08</v>
      </c>
      <c r="M44" s="22">
        <f t="shared" si="48"/>
        <v>6.35</v>
      </c>
      <c r="N44" s="22">
        <f t="shared" si="49"/>
        <v>7.62</v>
      </c>
      <c r="O44" s="22">
        <f t="shared" si="50"/>
        <v>8.89</v>
      </c>
      <c r="P44" s="30">
        <f t="shared" si="64"/>
        <v>15.239999999999998</v>
      </c>
      <c r="Q44" s="30">
        <f t="shared" si="65"/>
        <v>17.145</v>
      </c>
      <c r="R44" s="30">
        <f t="shared" si="66"/>
        <v>18.097499999999997</v>
      </c>
      <c r="S44" s="30">
        <f t="shared" si="67"/>
        <v>17.779999999999998</v>
      </c>
      <c r="T44" s="30">
        <f t="shared" si="68"/>
        <v>19.049999999999997</v>
      </c>
      <c r="U44" s="17">
        <f t="shared" si="51"/>
        <v>25.4</v>
      </c>
      <c r="V44" s="30">
        <f t="shared" si="77"/>
        <v>50.8</v>
      </c>
      <c r="W44" s="21"/>
      <c r="X44" s="23">
        <f t="shared" si="53"/>
        <v>35560</v>
      </c>
      <c r="Y44" s="23"/>
      <c r="Z44" s="23">
        <f t="shared" si="54"/>
        <v>60959.999999999993</v>
      </c>
      <c r="AA44" s="23">
        <f t="shared" si="55"/>
        <v>76199.999999999985</v>
      </c>
      <c r="AB44" s="23">
        <f t="shared" si="55"/>
        <v>101600</v>
      </c>
      <c r="AE44" s="36">
        <f t="shared" si="56"/>
        <v>3.14</v>
      </c>
      <c r="AF44" s="37">
        <f t="shared" si="70"/>
        <v>3048.94</v>
      </c>
      <c r="AG44" s="28">
        <f t="shared" si="57"/>
        <v>14798.039999999999</v>
      </c>
      <c r="AH44" s="28">
        <f t="shared" si="71"/>
        <v>18497.549999999996</v>
      </c>
      <c r="AI44" s="28">
        <f t="shared" si="71"/>
        <v>24663.399999999998</v>
      </c>
      <c r="AJ44" s="28">
        <f t="shared" si="71"/>
        <v>49326.799999999996</v>
      </c>
      <c r="AK44" s="38"/>
      <c r="AL44" s="39">
        <v>3.14</v>
      </c>
      <c r="AM44" s="40">
        <f t="shared" si="72"/>
        <v>194.68</v>
      </c>
      <c r="AN44" s="28">
        <f t="shared" si="58"/>
        <v>944.87999999999988</v>
      </c>
      <c r="AO44" s="28">
        <f t="shared" si="73"/>
        <v>1181.0999999999999</v>
      </c>
      <c r="AP44" s="28">
        <f t="shared" si="73"/>
        <v>1574.8</v>
      </c>
      <c r="AQ44" s="28">
        <f t="shared" si="73"/>
        <v>3149.6</v>
      </c>
      <c r="AS44" s="28">
        <f t="shared" si="59"/>
        <v>117.34799999999998</v>
      </c>
      <c r="AT44" s="28">
        <f t="shared" si="74"/>
        <v>146.68499999999997</v>
      </c>
      <c r="AU44" s="28">
        <f t="shared" si="74"/>
        <v>195.57999999999998</v>
      </c>
      <c r="AV44" s="28">
        <f t="shared" si="74"/>
        <v>391.15999999999997</v>
      </c>
      <c r="AX44" s="31">
        <f t="shared" si="60"/>
        <v>7619.9999999999991</v>
      </c>
      <c r="AY44" s="31">
        <f t="shared" si="75"/>
        <v>9524.9999999999982</v>
      </c>
      <c r="AZ44" s="31">
        <f t="shared" si="75"/>
        <v>12700</v>
      </c>
      <c r="BA44" s="31">
        <f t="shared" si="75"/>
        <v>25400</v>
      </c>
      <c r="BD44" s="55">
        <f t="shared" si="38"/>
        <v>65.722499999999997</v>
      </c>
      <c r="BE44" s="55">
        <f t="shared" si="39"/>
        <v>87.63</v>
      </c>
      <c r="BF44" s="55">
        <f t="shared" si="40"/>
        <v>175.26</v>
      </c>
      <c r="BI44" s="55">
        <f t="shared" si="41"/>
        <v>341.94749999999993</v>
      </c>
      <c r="BJ44" s="55">
        <f t="shared" si="42"/>
        <v>455.92999999999995</v>
      </c>
      <c r="BK44" s="55">
        <f t="shared" si="43"/>
        <v>911.8599999999999</v>
      </c>
      <c r="BN44" s="56">
        <f t="shared" si="44"/>
        <v>122891.54999999999</v>
      </c>
      <c r="BO44" s="56">
        <f t="shared" si="45"/>
        <v>163855.4</v>
      </c>
      <c r="BP44" s="56">
        <f t="shared" si="46"/>
        <v>327710.8</v>
      </c>
      <c r="BR44" s="54"/>
    </row>
    <row r="45" spans="1:70" x14ac:dyDescent="0.2">
      <c r="A45" s="6">
        <v>42697</v>
      </c>
      <c r="B45" s="53" t="s">
        <v>159</v>
      </c>
      <c r="C45" s="17" t="s">
        <v>4</v>
      </c>
      <c r="D45" s="17" t="s">
        <v>10</v>
      </c>
      <c r="E45" s="26">
        <v>0.86</v>
      </c>
      <c r="F45" s="25">
        <v>0.86</v>
      </c>
      <c r="G45" s="17"/>
      <c r="H45" s="11">
        <v>10</v>
      </c>
      <c r="I45" s="17">
        <f t="shared" si="61"/>
        <v>1.54</v>
      </c>
      <c r="J45" s="21">
        <f t="shared" si="62"/>
        <v>2.06</v>
      </c>
      <c r="K45" s="22">
        <f t="shared" si="63"/>
        <v>2.73</v>
      </c>
      <c r="L45" s="22">
        <f t="shared" si="47"/>
        <v>3.08</v>
      </c>
      <c r="M45" s="22">
        <f t="shared" si="48"/>
        <v>3.85</v>
      </c>
      <c r="N45" s="22">
        <f t="shared" si="49"/>
        <v>4.62</v>
      </c>
      <c r="O45" s="22">
        <f t="shared" si="50"/>
        <v>5.3900000000000006</v>
      </c>
      <c r="P45" s="30">
        <f t="shared" si="64"/>
        <v>9.24</v>
      </c>
      <c r="Q45" s="30">
        <f t="shared" si="65"/>
        <v>10.395000000000001</v>
      </c>
      <c r="R45" s="30">
        <f t="shared" si="66"/>
        <v>10.9725</v>
      </c>
      <c r="S45" s="30">
        <f t="shared" si="67"/>
        <v>10.78</v>
      </c>
      <c r="T45" s="30">
        <f t="shared" si="68"/>
        <v>11.55</v>
      </c>
      <c r="U45" s="17">
        <f t="shared" si="51"/>
        <v>15.4</v>
      </c>
      <c r="V45" s="30">
        <f t="shared" si="77"/>
        <v>30.8</v>
      </c>
      <c r="W45" s="21"/>
      <c r="X45" s="23">
        <f t="shared" si="53"/>
        <v>21560.000000000004</v>
      </c>
      <c r="Y45" s="23"/>
      <c r="Z45" s="23">
        <f t="shared" si="54"/>
        <v>36960</v>
      </c>
      <c r="AA45" s="23">
        <f t="shared" si="55"/>
        <v>46200</v>
      </c>
      <c r="AB45" s="23">
        <f t="shared" si="55"/>
        <v>61600</v>
      </c>
      <c r="AE45" s="36">
        <f t="shared" si="56"/>
        <v>2.14</v>
      </c>
      <c r="AF45" s="37">
        <f t="shared" si="70"/>
        <v>2077.94</v>
      </c>
      <c r="AG45" s="28">
        <f t="shared" si="57"/>
        <v>8972.0400000000009</v>
      </c>
      <c r="AH45" s="28">
        <f t="shared" si="71"/>
        <v>11215.050000000001</v>
      </c>
      <c r="AI45" s="28">
        <f t="shared" si="71"/>
        <v>14953.4</v>
      </c>
      <c r="AJ45" s="28">
        <f t="shared" si="71"/>
        <v>29906.799999999999</v>
      </c>
      <c r="AK45" s="38"/>
      <c r="AL45" s="39">
        <v>2.14</v>
      </c>
      <c r="AM45" s="40">
        <f t="shared" si="72"/>
        <v>132.68</v>
      </c>
      <c r="AN45" s="28">
        <f t="shared" si="58"/>
        <v>572.88</v>
      </c>
      <c r="AO45" s="28">
        <f t="shared" si="73"/>
        <v>716.1</v>
      </c>
      <c r="AP45" s="28">
        <f t="shared" si="73"/>
        <v>954.80000000000007</v>
      </c>
      <c r="AQ45" s="28">
        <f t="shared" si="73"/>
        <v>1909.6000000000001</v>
      </c>
      <c r="AS45" s="28">
        <f t="shared" si="59"/>
        <v>71.14800000000001</v>
      </c>
      <c r="AT45" s="28">
        <f t="shared" si="74"/>
        <v>88.935000000000002</v>
      </c>
      <c r="AU45" s="28">
        <f t="shared" si="74"/>
        <v>118.58000000000001</v>
      </c>
      <c r="AV45" s="28">
        <f t="shared" si="74"/>
        <v>237.16000000000003</v>
      </c>
      <c r="AX45" s="31">
        <f t="shared" si="60"/>
        <v>4620</v>
      </c>
      <c r="AY45" s="31">
        <f t="shared" si="75"/>
        <v>5775</v>
      </c>
      <c r="AZ45" s="31">
        <f t="shared" si="75"/>
        <v>7700</v>
      </c>
      <c r="BA45" s="31">
        <f t="shared" si="75"/>
        <v>15400</v>
      </c>
      <c r="BD45" s="55">
        <f t="shared" si="38"/>
        <v>39.847500000000004</v>
      </c>
      <c r="BE45" s="55">
        <f t="shared" si="39"/>
        <v>53.13</v>
      </c>
      <c r="BF45" s="55">
        <f t="shared" si="40"/>
        <v>106.26</v>
      </c>
      <c r="BI45" s="55">
        <f t="shared" si="41"/>
        <v>207.32249999999999</v>
      </c>
      <c r="BJ45" s="55">
        <f t="shared" si="42"/>
        <v>276.43</v>
      </c>
      <c r="BK45" s="55">
        <f t="shared" si="43"/>
        <v>552.86</v>
      </c>
      <c r="BN45" s="56">
        <f t="shared" si="44"/>
        <v>74509.05</v>
      </c>
      <c r="BO45" s="56">
        <f t="shared" si="45"/>
        <v>99345.400000000009</v>
      </c>
      <c r="BP45" s="56">
        <f t="shared" si="46"/>
        <v>198690.80000000002</v>
      </c>
      <c r="BR45" s="54"/>
    </row>
    <row r="46" spans="1:70" x14ac:dyDescent="0.2">
      <c r="A46" s="14">
        <v>42700</v>
      </c>
      <c r="B46" s="53" t="s">
        <v>160</v>
      </c>
      <c r="C46" s="17" t="s">
        <v>8</v>
      </c>
      <c r="D46" s="17" t="s">
        <v>10</v>
      </c>
      <c r="E46" s="18">
        <v>1.18</v>
      </c>
      <c r="F46" s="25">
        <v>2.64</v>
      </c>
      <c r="G46" s="17"/>
      <c r="H46" s="11">
        <v>20</v>
      </c>
      <c r="I46" s="17">
        <f t="shared" si="61"/>
        <v>3.3200000000000003</v>
      </c>
      <c r="J46" s="21">
        <f t="shared" si="62"/>
        <v>3.84</v>
      </c>
      <c r="K46" s="22">
        <f t="shared" si="63"/>
        <v>4.51</v>
      </c>
      <c r="L46" s="22">
        <f t="shared" si="47"/>
        <v>6.6400000000000006</v>
      </c>
      <c r="M46" s="22">
        <f t="shared" si="48"/>
        <v>8.3000000000000007</v>
      </c>
      <c r="N46" s="22">
        <f t="shared" si="49"/>
        <v>9.9600000000000009</v>
      </c>
      <c r="O46" s="22">
        <f t="shared" si="50"/>
        <v>11.620000000000001</v>
      </c>
      <c r="P46" s="30">
        <f t="shared" si="64"/>
        <v>19.920000000000002</v>
      </c>
      <c r="Q46" s="30">
        <f t="shared" si="65"/>
        <v>22.410000000000004</v>
      </c>
      <c r="R46" s="30">
        <f t="shared" si="66"/>
        <v>23.655000000000001</v>
      </c>
      <c r="S46" s="30">
        <f t="shared" si="67"/>
        <v>23.240000000000002</v>
      </c>
      <c r="T46" s="30">
        <f t="shared" si="68"/>
        <v>24.900000000000002</v>
      </c>
      <c r="U46" s="17">
        <f t="shared" si="51"/>
        <v>33.200000000000003</v>
      </c>
      <c r="V46" s="30">
        <f t="shared" si="77"/>
        <v>66.400000000000006</v>
      </c>
      <c r="W46" s="21"/>
      <c r="X46" s="23">
        <f t="shared" si="53"/>
        <v>46480.000000000007</v>
      </c>
      <c r="Y46" s="23"/>
      <c r="Z46" s="23">
        <f t="shared" si="54"/>
        <v>79680</v>
      </c>
      <c r="AA46" s="23">
        <f t="shared" si="55"/>
        <v>99600.000000000015</v>
      </c>
      <c r="AB46" s="23">
        <f t="shared" si="55"/>
        <v>132800</v>
      </c>
      <c r="AE46" s="36">
        <f t="shared" si="56"/>
        <v>3.9200000000000004</v>
      </c>
      <c r="AF46" s="37">
        <f t="shared" si="70"/>
        <v>3806.32</v>
      </c>
      <c r="AG46" s="28">
        <f t="shared" si="57"/>
        <v>19342.320000000003</v>
      </c>
      <c r="AH46" s="28">
        <f t="shared" si="71"/>
        <v>24177.9</v>
      </c>
      <c r="AI46" s="28">
        <f t="shared" si="71"/>
        <v>32237.200000000004</v>
      </c>
      <c r="AJ46" s="28">
        <f t="shared" si="71"/>
        <v>64474.400000000009</v>
      </c>
      <c r="AK46" s="38"/>
      <c r="AL46" s="39">
        <v>3.9200000000000004</v>
      </c>
      <c r="AM46" s="40">
        <f t="shared" si="72"/>
        <v>243.04000000000002</v>
      </c>
      <c r="AN46" s="28">
        <f t="shared" si="58"/>
        <v>1235.0400000000002</v>
      </c>
      <c r="AO46" s="28">
        <f t="shared" si="73"/>
        <v>1543.8000000000002</v>
      </c>
      <c r="AP46" s="28">
        <f t="shared" si="73"/>
        <v>2058.4</v>
      </c>
      <c r="AQ46" s="28">
        <f t="shared" si="73"/>
        <v>4116.8</v>
      </c>
      <c r="AS46" s="28">
        <f t="shared" si="59"/>
        <v>153.38400000000001</v>
      </c>
      <c r="AT46" s="28">
        <f t="shared" si="74"/>
        <v>191.73000000000002</v>
      </c>
      <c r="AU46" s="28">
        <f t="shared" si="74"/>
        <v>255.64000000000001</v>
      </c>
      <c r="AV46" s="28">
        <f t="shared" si="74"/>
        <v>511.28000000000003</v>
      </c>
      <c r="AX46" s="31">
        <f t="shared" si="60"/>
        <v>9960</v>
      </c>
      <c r="AY46" s="31">
        <f t="shared" si="75"/>
        <v>12450.000000000002</v>
      </c>
      <c r="AZ46" s="31">
        <f t="shared" si="75"/>
        <v>16600</v>
      </c>
      <c r="BA46" s="31">
        <f t="shared" si="75"/>
        <v>33200</v>
      </c>
      <c r="BD46" s="55">
        <f t="shared" si="38"/>
        <v>85.905000000000015</v>
      </c>
      <c r="BE46" s="55">
        <f t="shared" si="39"/>
        <v>114.54000000000002</v>
      </c>
      <c r="BF46" s="55">
        <f t="shared" si="40"/>
        <v>229.08000000000004</v>
      </c>
      <c r="BI46" s="55">
        <f t="shared" si="41"/>
        <v>446.95500000000004</v>
      </c>
      <c r="BJ46" s="55">
        <f t="shared" si="42"/>
        <v>595.94000000000005</v>
      </c>
      <c r="BK46" s="55">
        <f t="shared" si="43"/>
        <v>1191.8800000000001</v>
      </c>
      <c r="BN46" s="56">
        <f t="shared" si="44"/>
        <v>160629.90000000002</v>
      </c>
      <c r="BO46" s="56">
        <f t="shared" si="45"/>
        <v>214173.2</v>
      </c>
      <c r="BP46" s="56">
        <f t="shared" si="46"/>
        <v>428346.4</v>
      </c>
      <c r="BR46" s="54"/>
    </row>
    <row r="47" spans="1:70" x14ac:dyDescent="0.2">
      <c r="A47" s="14">
        <v>42782</v>
      </c>
      <c r="B47" s="53" t="s">
        <v>161</v>
      </c>
      <c r="C47" s="17" t="s">
        <v>19</v>
      </c>
      <c r="D47" s="17" t="s">
        <v>12</v>
      </c>
      <c r="E47" s="18">
        <v>0.56999999999999995</v>
      </c>
      <c r="F47" s="25">
        <v>0.95</v>
      </c>
      <c r="G47" s="17"/>
      <c r="H47" s="11">
        <v>20</v>
      </c>
      <c r="I47" s="17">
        <f t="shared" si="61"/>
        <v>1.63</v>
      </c>
      <c r="J47" s="21">
        <f t="shared" si="62"/>
        <v>2.15</v>
      </c>
      <c r="K47" s="22">
        <f t="shared" si="63"/>
        <v>2.8200000000000003</v>
      </c>
      <c r="L47" s="22">
        <f t="shared" si="47"/>
        <v>3.26</v>
      </c>
      <c r="M47" s="22">
        <f t="shared" si="48"/>
        <v>4.0749999999999993</v>
      </c>
      <c r="N47" s="22">
        <f t="shared" si="49"/>
        <v>4.8899999999999997</v>
      </c>
      <c r="O47" s="22">
        <f t="shared" si="50"/>
        <v>5.7050000000000001</v>
      </c>
      <c r="P47" s="30">
        <f t="shared" si="64"/>
        <v>9.7799999999999994</v>
      </c>
      <c r="Q47" s="30">
        <f t="shared" si="65"/>
        <v>11.002499999999998</v>
      </c>
      <c r="R47" s="30">
        <f t="shared" si="66"/>
        <v>11.613749999999998</v>
      </c>
      <c r="S47" s="30">
        <f t="shared" si="67"/>
        <v>11.409999999999997</v>
      </c>
      <c r="T47" s="30">
        <f t="shared" si="68"/>
        <v>12.224999999999998</v>
      </c>
      <c r="U47" s="17">
        <f t="shared" si="51"/>
        <v>16.299999999999997</v>
      </c>
      <c r="V47" s="30">
        <f t="shared" si="77"/>
        <v>32.599999999999994</v>
      </c>
      <c r="W47" s="21"/>
      <c r="X47" s="23">
        <f t="shared" si="53"/>
        <v>22820</v>
      </c>
      <c r="Y47" s="23"/>
      <c r="Z47" s="23">
        <f t="shared" si="54"/>
        <v>39120</v>
      </c>
      <c r="AA47" s="23">
        <f t="shared" si="55"/>
        <v>48899.999999999993</v>
      </c>
      <c r="AB47" s="23">
        <f t="shared" si="55"/>
        <v>65199.999999999985</v>
      </c>
      <c r="AE47" s="36">
        <f t="shared" si="56"/>
        <v>2.23</v>
      </c>
      <c r="AF47" s="37">
        <f t="shared" si="70"/>
        <v>2165.33</v>
      </c>
      <c r="AG47" s="28">
        <f t="shared" si="57"/>
        <v>9496.3799999999992</v>
      </c>
      <c r="AH47" s="28">
        <f t="shared" si="71"/>
        <v>11870.474999999999</v>
      </c>
      <c r="AI47" s="28">
        <f t="shared" si="71"/>
        <v>15827.299999999997</v>
      </c>
      <c r="AJ47" s="28">
        <f t="shared" si="71"/>
        <v>31654.599999999995</v>
      </c>
      <c r="AK47" s="38"/>
      <c r="AL47" s="39">
        <v>2.23</v>
      </c>
      <c r="AM47" s="40">
        <f t="shared" si="72"/>
        <v>138.26</v>
      </c>
      <c r="AN47" s="28">
        <f t="shared" si="58"/>
        <v>606.36</v>
      </c>
      <c r="AO47" s="28">
        <f t="shared" si="73"/>
        <v>757.94999999999982</v>
      </c>
      <c r="AP47" s="28">
        <f t="shared" si="73"/>
        <v>1010.5999999999998</v>
      </c>
      <c r="AQ47" s="28">
        <f t="shared" si="73"/>
        <v>2021.1999999999996</v>
      </c>
      <c r="AS47" s="28">
        <f t="shared" si="59"/>
        <v>75.305999999999997</v>
      </c>
      <c r="AT47" s="28">
        <f t="shared" si="74"/>
        <v>94.132499999999979</v>
      </c>
      <c r="AU47" s="28">
        <f t="shared" si="74"/>
        <v>125.50999999999998</v>
      </c>
      <c r="AV47" s="28">
        <f t="shared" si="74"/>
        <v>251.01999999999995</v>
      </c>
      <c r="AX47" s="31">
        <f t="shared" si="60"/>
        <v>4890</v>
      </c>
      <c r="AY47" s="31">
        <f t="shared" si="75"/>
        <v>6112.4999999999991</v>
      </c>
      <c r="AZ47" s="31">
        <f t="shared" si="75"/>
        <v>8149.9999999999982</v>
      </c>
      <c r="BA47" s="31">
        <f t="shared" si="75"/>
        <v>16299.999999999996</v>
      </c>
      <c r="BD47" s="55">
        <f t="shared" si="38"/>
        <v>42.176249999999996</v>
      </c>
      <c r="BE47" s="55">
        <f t="shared" si="39"/>
        <v>56.234999999999992</v>
      </c>
      <c r="BF47" s="55">
        <f t="shared" si="40"/>
        <v>112.46999999999998</v>
      </c>
      <c r="BI47" s="55">
        <f t="shared" si="41"/>
        <v>219.43874999999994</v>
      </c>
      <c r="BJ47" s="55">
        <f t="shared" si="42"/>
        <v>292.58499999999992</v>
      </c>
      <c r="BK47" s="55">
        <f t="shared" si="43"/>
        <v>585.16999999999985</v>
      </c>
      <c r="BN47" s="56">
        <f t="shared" si="44"/>
        <v>78863.474999999991</v>
      </c>
      <c r="BO47" s="56">
        <f t="shared" si="45"/>
        <v>105151.29999999999</v>
      </c>
      <c r="BP47" s="56">
        <f t="shared" si="46"/>
        <v>210302.59999999998</v>
      </c>
      <c r="BR47" s="54"/>
    </row>
    <row r="48" spans="1:70" x14ac:dyDescent="0.2">
      <c r="A48" s="6">
        <v>42786</v>
      </c>
      <c r="B48" s="53" t="s">
        <v>162</v>
      </c>
      <c r="C48" s="17" t="s">
        <v>11</v>
      </c>
      <c r="D48" s="17" t="s">
        <v>12</v>
      </c>
      <c r="E48" s="18">
        <v>0.61</v>
      </c>
      <c r="F48" s="25">
        <v>0.87</v>
      </c>
      <c r="G48" s="17"/>
      <c r="H48" s="11"/>
      <c r="I48" s="17">
        <f t="shared" si="61"/>
        <v>1.55</v>
      </c>
      <c r="J48" s="21">
        <f t="shared" si="62"/>
        <v>2.0699999999999998</v>
      </c>
      <c r="K48" s="22">
        <f t="shared" si="63"/>
        <v>2.74</v>
      </c>
      <c r="L48" s="22">
        <f t="shared" si="47"/>
        <v>3.1</v>
      </c>
      <c r="M48" s="22">
        <f t="shared" si="48"/>
        <v>3.875</v>
      </c>
      <c r="N48" s="22">
        <f t="shared" si="49"/>
        <v>4.6500000000000004</v>
      </c>
      <c r="O48" s="22">
        <f t="shared" si="50"/>
        <v>5.4249999999999998</v>
      </c>
      <c r="P48" s="30">
        <f t="shared" si="64"/>
        <v>9.3000000000000007</v>
      </c>
      <c r="Q48" s="30">
        <f t="shared" si="65"/>
        <v>10.4625</v>
      </c>
      <c r="R48" s="30">
        <f t="shared" si="66"/>
        <v>11.043749999999999</v>
      </c>
      <c r="S48" s="30">
        <f t="shared" si="67"/>
        <v>10.85</v>
      </c>
      <c r="T48" s="30">
        <f t="shared" si="68"/>
        <v>11.625</v>
      </c>
      <c r="U48" s="17">
        <f t="shared" si="51"/>
        <v>15.5</v>
      </c>
      <c r="V48" s="30">
        <f t="shared" si="77"/>
        <v>31</v>
      </c>
      <c r="W48" s="21"/>
      <c r="X48" s="23">
        <f t="shared" si="53"/>
        <v>21700</v>
      </c>
      <c r="Y48" s="23"/>
      <c r="Z48" s="23">
        <f t="shared" si="54"/>
        <v>37200</v>
      </c>
      <c r="AA48" s="23">
        <f t="shared" si="55"/>
        <v>46500</v>
      </c>
      <c r="AB48" s="23">
        <f t="shared" si="55"/>
        <v>62000</v>
      </c>
      <c r="AE48" s="36">
        <f t="shared" si="56"/>
        <v>2.15</v>
      </c>
      <c r="AF48" s="37">
        <f t="shared" si="70"/>
        <v>2087.65</v>
      </c>
      <c r="AG48" s="28">
        <f t="shared" si="57"/>
        <v>9030.3000000000011</v>
      </c>
      <c r="AH48" s="28">
        <f t="shared" si="71"/>
        <v>11287.875</v>
      </c>
      <c r="AI48" s="28">
        <f t="shared" si="71"/>
        <v>15050.5</v>
      </c>
      <c r="AJ48" s="28">
        <f t="shared" si="71"/>
        <v>30101</v>
      </c>
      <c r="AK48" s="38"/>
      <c r="AL48" s="39">
        <v>2.15</v>
      </c>
      <c r="AM48" s="40">
        <f t="shared" si="72"/>
        <v>133.29999999999998</v>
      </c>
      <c r="AN48" s="28">
        <f t="shared" si="58"/>
        <v>576.6</v>
      </c>
      <c r="AO48" s="28">
        <f t="shared" si="73"/>
        <v>720.75</v>
      </c>
      <c r="AP48" s="28">
        <f t="shared" si="73"/>
        <v>961</v>
      </c>
      <c r="AQ48" s="28">
        <f t="shared" si="73"/>
        <v>1922</v>
      </c>
      <c r="AS48" s="28">
        <f t="shared" si="59"/>
        <v>71.610000000000014</v>
      </c>
      <c r="AT48" s="28">
        <f t="shared" si="74"/>
        <v>89.512500000000003</v>
      </c>
      <c r="AU48" s="28">
        <f t="shared" si="74"/>
        <v>119.35000000000001</v>
      </c>
      <c r="AV48" s="28">
        <f t="shared" si="74"/>
        <v>238.70000000000002</v>
      </c>
      <c r="AX48" s="31">
        <f t="shared" si="60"/>
        <v>4650</v>
      </c>
      <c r="AY48" s="31">
        <f t="shared" si="75"/>
        <v>5812.5</v>
      </c>
      <c r="AZ48" s="31">
        <f t="shared" si="75"/>
        <v>7750</v>
      </c>
      <c r="BA48" s="31">
        <f t="shared" si="75"/>
        <v>15500</v>
      </c>
      <c r="BD48" s="55">
        <f t="shared" si="38"/>
        <v>40.106250000000003</v>
      </c>
      <c r="BE48" s="55">
        <f t="shared" si="39"/>
        <v>53.475000000000001</v>
      </c>
      <c r="BF48" s="55">
        <f t="shared" si="40"/>
        <v>106.95</v>
      </c>
      <c r="BI48" s="55">
        <f t="shared" si="41"/>
        <v>208.66874999999999</v>
      </c>
      <c r="BJ48" s="55">
        <f t="shared" si="42"/>
        <v>278.22499999999997</v>
      </c>
      <c r="BK48" s="55">
        <f t="shared" si="43"/>
        <v>556.44999999999993</v>
      </c>
      <c r="BN48" s="56">
        <f t="shared" si="44"/>
        <v>74992.875</v>
      </c>
      <c r="BO48" s="56">
        <f t="shared" si="45"/>
        <v>99990.5</v>
      </c>
      <c r="BP48" s="56">
        <f t="shared" si="46"/>
        <v>199981</v>
      </c>
      <c r="BR48" s="54"/>
    </row>
    <row r="49" spans="1:70" x14ac:dyDescent="0.2">
      <c r="A49" s="14">
        <v>42787</v>
      </c>
      <c r="B49" s="53" t="s">
        <v>163</v>
      </c>
      <c r="C49" s="17" t="s">
        <v>11</v>
      </c>
      <c r="D49" s="17" t="s">
        <v>12</v>
      </c>
      <c r="E49" s="18">
        <v>0.56999999999999995</v>
      </c>
      <c r="F49" s="25">
        <v>0.87</v>
      </c>
      <c r="G49" s="17"/>
      <c r="H49" s="11">
        <v>10</v>
      </c>
      <c r="I49" s="17">
        <f t="shared" si="61"/>
        <v>1.55</v>
      </c>
      <c r="J49" s="21">
        <f t="shared" si="62"/>
        <v>2.0699999999999998</v>
      </c>
      <c r="K49" s="22">
        <f t="shared" si="63"/>
        <v>2.74</v>
      </c>
      <c r="L49" s="22">
        <f t="shared" si="47"/>
        <v>3.1</v>
      </c>
      <c r="M49" s="22">
        <f t="shared" si="48"/>
        <v>3.875</v>
      </c>
      <c r="N49" s="22">
        <f t="shared" si="49"/>
        <v>4.6500000000000004</v>
      </c>
      <c r="O49" s="22">
        <f t="shared" si="50"/>
        <v>5.4249999999999998</v>
      </c>
      <c r="P49" s="30">
        <f t="shared" si="64"/>
        <v>9.3000000000000007</v>
      </c>
      <c r="Q49" s="30">
        <f t="shared" si="65"/>
        <v>10.4625</v>
      </c>
      <c r="R49" s="30">
        <f t="shared" si="66"/>
        <v>11.043749999999999</v>
      </c>
      <c r="S49" s="30">
        <f t="shared" si="67"/>
        <v>10.85</v>
      </c>
      <c r="T49" s="30">
        <f t="shared" si="68"/>
        <v>11.625</v>
      </c>
      <c r="U49" s="17">
        <f t="shared" si="51"/>
        <v>15.5</v>
      </c>
      <c r="V49" s="30">
        <f t="shared" si="77"/>
        <v>31</v>
      </c>
      <c r="W49" s="21"/>
      <c r="X49" s="23">
        <f t="shared" si="53"/>
        <v>21700</v>
      </c>
      <c r="Y49" s="23"/>
      <c r="Z49" s="23">
        <f t="shared" si="54"/>
        <v>37200</v>
      </c>
      <c r="AA49" s="23">
        <f t="shared" si="55"/>
        <v>46500</v>
      </c>
      <c r="AB49" s="23">
        <f t="shared" si="55"/>
        <v>62000</v>
      </c>
      <c r="AE49" s="36">
        <f t="shared" si="56"/>
        <v>2.15</v>
      </c>
      <c r="AF49" s="37">
        <f t="shared" si="70"/>
        <v>2087.65</v>
      </c>
      <c r="AG49" s="28">
        <f t="shared" si="57"/>
        <v>9030.3000000000011</v>
      </c>
      <c r="AH49" s="28">
        <f t="shared" si="71"/>
        <v>11287.875</v>
      </c>
      <c r="AI49" s="28">
        <f t="shared" si="71"/>
        <v>15050.5</v>
      </c>
      <c r="AJ49" s="28">
        <f t="shared" si="71"/>
        <v>30101</v>
      </c>
      <c r="AK49" s="38"/>
      <c r="AL49" s="39">
        <v>2.15</v>
      </c>
      <c r="AM49" s="40">
        <f t="shared" si="72"/>
        <v>133.29999999999998</v>
      </c>
      <c r="AN49" s="28">
        <f t="shared" si="58"/>
        <v>576.6</v>
      </c>
      <c r="AO49" s="28">
        <f t="shared" si="73"/>
        <v>720.75</v>
      </c>
      <c r="AP49" s="28">
        <f t="shared" si="73"/>
        <v>961</v>
      </c>
      <c r="AQ49" s="28">
        <f t="shared" si="73"/>
        <v>1922</v>
      </c>
      <c r="AS49" s="28">
        <f t="shared" si="59"/>
        <v>71.610000000000014</v>
      </c>
      <c r="AT49" s="28">
        <f t="shared" si="74"/>
        <v>89.512500000000003</v>
      </c>
      <c r="AU49" s="28">
        <f t="shared" si="74"/>
        <v>119.35000000000001</v>
      </c>
      <c r="AV49" s="28">
        <f t="shared" si="74"/>
        <v>238.70000000000002</v>
      </c>
      <c r="AX49" s="31">
        <f t="shared" si="60"/>
        <v>4650</v>
      </c>
      <c r="AY49" s="31">
        <f t="shared" si="75"/>
        <v>5812.5</v>
      </c>
      <c r="AZ49" s="31">
        <f t="shared" si="75"/>
        <v>7750</v>
      </c>
      <c r="BA49" s="31">
        <f t="shared" si="75"/>
        <v>15500</v>
      </c>
      <c r="BD49" s="55">
        <f t="shared" si="38"/>
        <v>40.106250000000003</v>
      </c>
      <c r="BE49" s="55">
        <f t="shared" si="39"/>
        <v>53.475000000000001</v>
      </c>
      <c r="BF49" s="55">
        <f t="shared" si="40"/>
        <v>106.95</v>
      </c>
      <c r="BI49" s="55">
        <f t="shared" si="41"/>
        <v>208.66874999999999</v>
      </c>
      <c r="BJ49" s="55">
        <f t="shared" si="42"/>
        <v>278.22499999999997</v>
      </c>
      <c r="BK49" s="55">
        <f t="shared" si="43"/>
        <v>556.44999999999993</v>
      </c>
      <c r="BN49" s="56">
        <f t="shared" si="44"/>
        <v>74992.875</v>
      </c>
      <c r="BO49" s="56">
        <f t="shared" si="45"/>
        <v>99990.5</v>
      </c>
      <c r="BP49" s="56">
        <f t="shared" si="46"/>
        <v>199981</v>
      </c>
      <c r="BR49" s="54"/>
    </row>
    <row r="50" spans="1:70" x14ac:dyDescent="0.2">
      <c r="A50" s="14">
        <v>42788</v>
      </c>
      <c r="B50" s="53" t="s">
        <v>164</v>
      </c>
      <c r="C50" s="17" t="s">
        <v>11</v>
      </c>
      <c r="D50" s="17" t="s">
        <v>10</v>
      </c>
      <c r="E50" s="18">
        <v>0.75</v>
      </c>
      <c r="F50" s="25">
        <v>1.42</v>
      </c>
      <c r="G50" s="17"/>
      <c r="H50" s="11">
        <v>20</v>
      </c>
      <c r="I50" s="17">
        <f t="shared" si="61"/>
        <v>2.1</v>
      </c>
      <c r="J50" s="21">
        <f t="shared" si="62"/>
        <v>2.62</v>
      </c>
      <c r="K50" s="22">
        <f t="shared" si="63"/>
        <v>3.29</v>
      </c>
      <c r="L50" s="22">
        <f t="shared" si="47"/>
        <v>4.2</v>
      </c>
      <c r="M50" s="22">
        <f t="shared" si="48"/>
        <v>5.25</v>
      </c>
      <c r="N50" s="22">
        <f t="shared" si="49"/>
        <v>6.3000000000000007</v>
      </c>
      <c r="O50" s="22">
        <f t="shared" si="50"/>
        <v>7.3500000000000005</v>
      </c>
      <c r="P50" s="30">
        <f t="shared" si="64"/>
        <v>12.600000000000001</v>
      </c>
      <c r="Q50" s="30">
        <f t="shared" si="65"/>
        <v>14.175000000000001</v>
      </c>
      <c r="R50" s="30">
        <f t="shared" si="66"/>
        <v>14.962499999999999</v>
      </c>
      <c r="S50" s="30">
        <f t="shared" si="67"/>
        <v>14.7</v>
      </c>
      <c r="T50" s="30">
        <f t="shared" si="68"/>
        <v>15.75</v>
      </c>
      <c r="U50" s="17">
        <f t="shared" si="51"/>
        <v>21</v>
      </c>
      <c r="V50" s="30">
        <f t="shared" si="77"/>
        <v>42</v>
      </c>
      <c r="W50" s="21"/>
      <c r="X50" s="23">
        <f t="shared" si="53"/>
        <v>29400.000000000004</v>
      </c>
      <c r="Y50" s="23"/>
      <c r="Z50" s="23">
        <f t="shared" si="54"/>
        <v>50400.000000000007</v>
      </c>
      <c r="AA50" s="23">
        <f t="shared" si="55"/>
        <v>63000</v>
      </c>
      <c r="AB50" s="23">
        <f t="shared" si="55"/>
        <v>84000</v>
      </c>
      <c r="AE50" s="36">
        <f t="shared" si="56"/>
        <v>2.7</v>
      </c>
      <c r="AF50" s="37">
        <f t="shared" si="70"/>
        <v>2621.7000000000003</v>
      </c>
      <c r="AG50" s="28">
        <f t="shared" si="57"/>
        <v>12234.600000000002</v>
      </c>
      <c r="AH50" s="28">
        <f t="shared" si="71"/>
        <v>15293.25</v>
      </c>
      <c r="AI50" s="28">
        <f t="shared" si="71"/>
        <v>20391</v>
      </c>
      <c r="AJ50" s="28">
        <f t="shared" si="71"/>
        <v>40782</v>
      </c>
      <c r="AK50" s="38"/>
      <c r="AL50" s="39">
        <v>2.7</v>
      </c>
      <c r="AM50" s="40">
        <f t="shared" si="72"/>
        <v>167.4</v>
      </c>
      <c r="AN50" s="28">
        <f t="shared" si="58"/>
        <v>781.2</v>
      </c>
      <c r="AO50" s="28">
        <f t="shared" si="73"/>
        <v>976.5</v>
      </c>
      <c r="AP50" s="28">
        <f t="shared" si="73"/>
        <v>1302</v>
      </c>
      <c r="AQ50" s="28">
        <f t="shared" si="73"/>
        <v>2604</v>
      </c>
      <c r="AS50" s="28">
        <f t="shared" si="59"/>
        <v>97.02000000000001</v>
      </c>
      <c r="AT50" s="28">
        <f t="shared" si="74"/>
        <v>121.27500000000001</v>
      </c>
      <c r="AU50" s="28">
        <f t="shared" si="74"/>
        <v>161.70000000000002</v>
      </c>
      <c r="AV50" s="28">
        <f t="shared" si="74"/>
        <v>323.40000000000003</v>
      </c>
      <c r="AX50" s="31">
        <f t="shared" si="60"/>
        <v>6300.0000000000009</v>
      </c>
      <c r="AY50" s="31">
        <f t="shared" si="75"/>
        <v>7875</v>
      </c>
      <c r="AZ50" s="31">
        <f t="shared" si="75"/>
        <v>10500</v>
      </c>
      <c r="BA50" s="31">
        <f t="shared" si="75"/>
        <v>21000</v>
      </c>
      <c r="BD50" s="55">
        <f t="shared" si="38"/>
        <v>54.337500000000006</v>
      </c>
      <c r="BE50" s="55">
        <f t="shared" si="39"/>
        <v>72.45</v>
      </c>
      <c r="BF50" s="55">
        <f t="shared" si="40"/>
        <v>144.9</v>
      </c>
      <c r="BI50" s="55">
        <f t="shared" si="41"/>
        <v>282.71249999999998</v>
      </c>
      <c r="BJ50" s="55">
        <f t="shared" si="42"/>
        <v>376.95</v>
      </c>
      <c r="BK50" s="55">
        <f t="shared" si="43"/>
        <v>753.9</v>
      </c>
      <c r="BN50" s="56">
        <f t="shared" si="44"/>
        <v>101603.25</v>
      </c>
      <c r="BO50" s="56">
        <f t="shared" si="45"/>
        <v>135471</v>
      </c>
      <c r="BP50" s="56">
        <f t="shared" si="46"/>
        <v>270942</v>
      </c>
      <c r="BR50" s="54"/>
    </row>
    <row r="51" spans="1:70" x14ac:dyDescent="0.2">
      <c r="A51" s="14">
        <v>42793</v>
      </c>
      <c r="B51" s="53" t="s">
        <v>165</v>
      </c>
      <c r="C51" s="17" t="s">
        <v>4</v>
      </c>
      <c r="D51" s="17" t="s">
        <v>10</v>
      </c>
      <c r="E51" s="18">
        <v>0.93</v>
      </c>
      <c r="F51" s="25">
        <v>2</v>
      </c>
      <c r="G51" s="17"/>
      <c r="H51" s="17">
        <v>20</v>
      </c>
      <c r="I51" s="17">
        <f t="shared" si="61"/>
        <v>2.68</v>
      </c>
      <c r="J51" s="22">
        <f t="shared" si="62"/>
        <v>3.2</v>
      </c>
      <c r="K51" s="22">
        <f t="shared" si="63"/>
        <v>3.87</v>
      </c>
      <c r="L51" s="22">
        <f t="shared" si="47"/>
        <v>5.36</v>
      </c>
      <c r="M51" s="22">
        <f t="shared" si="48"/>
        <v>6.7</v>
      </c>
      <c r="N51" s="22">
        <f t="shared" si="49"/>
        <v>8.0400000000000009</v>
      </c>
      <c r="O51" s="22">
        <f t="shared" si="50"/>
        <v>9.3800000000000008</v>
      </c>
      <c r="P51" s="30">
        <f t="shared" si="64"/>
        <v>16.080000000000002</v>
      </c>
      <c r="Q51" s="30">
        <f t="shared" si="65"/>
        <v>18.090000000000003</v>
      </c>
      <c r="R51" s="30">
        <f t="shared" si="66"/>
        <v>19.094999999999999</v>
      </c>
      <c r="S51" s="30">
        <f t="shared" si="67"/>
        <v>18.759999999999998</v>
      </c>
      <c r="T51" s="30">
        <f t="shared" si="68"/>
        <v>20.100000000000001</v>
      </c>
      <c r="U51" s="17">
        <f t="shared" si="51"/>
        <v>26.8</v>
      </c>
      <c r="V51" s="30">
        <f t="shared" si="77"/>
        <v>53.6</v>
      </c>
      <c r="W51" s="21"/>
      <c r="X51" s="23">
        <f t="shared" si="53"/>
        <v>37520</v>
      </c>
      <c r="Y51" s="23"/>
      <c r="Z51" s="23">
        <f t="shared" si="54"/>
        <v>64320.000000000007</v>
      </c>
      <c r="AA51" s="23">
        <f t="shared" si="55"/>
        <v>80400</v>
      </c>
      <c r="AB51" s="23">
        <f t="shared" si="55"/>
        <v>107200</v>
      </c>
      <c r="AE51" s="36">
        <f t="shared" si="56"/>
        <v>3.2800000000000002</v>
      </c>
      <c r="AF51" s="37">
        <f t="shared" si="70"/>
        <v>3184.88</v>
      </c>
      <c r="AG51" s="28">
        <f t="shared" si="57"/>
        <v>15613.680000000002</v>
      </c>
      <c r="AH51" s="28">
        <f t="shared" si="71"/>
        <v>19517.100000000002</v>
      </c>
      <c r="AI51" s="28">
        <f t="shared" si="71"/>
        <v>26022.799999999999</v>
      </c>
      <c r="AJ51" s="28">
        <f t="shared" si="71"/>
        <v>52045.599999999999</v>
      </c>
      <c r="AK51" s="38"/>
      <c r="AL51" s="39">
        <v>3.2800000000000002</v>
      </c>
      <c r="AM51" s="40">
        <f t="shared" si="72"/>
        <v>203.36</v>
      </c>
      <c r="AN51" s="28">
        <f t="shared" si="58"/>
        <v>996.96000000000015</v>
      </c>
      <c r="AO51" s="28">
        <f t="shared" si="73"/>
        <v>1246.2</v>
      </c>
      <c r="AP51" s="28">
        <f t="shared" si="73"/>
        <v>1661.6000000000001</v>
      </c>
      <c r="AQ51" s="28">
        <f t="shared" si="73"/>
        <v>3323.2000000000003</v>
      </c>
      <c r="AS51" s="28">
        <f t="shared" si="59"/>
        <v>123.81600000000002</v>
      </c>
      <c r="AT51" s="28">
        <f t="shared" si="74"/>
        <v>154.77000000000001</v>
      </c>
      <c r="AU51" s="28">
        <f t="shared" si="74"/>
        <v>206.36</v>
      </c>
      <c r="AV51" s="28">
        <f t="shared" si="74"/>
        <v>412.72</v>
      </c>
      <c r="AX51" s="31">
        <f t="shared" si="60"/>
        <v>8040.0000000000009</v>
      </c>
      <c r="AY51" s="31">
        <f t="shared" si="75"/>
        <v>10050</v>
      </c>
      <c r="AZ51" s="31">
        <f t="shared" si="75"/>
        <v>13400</v>
      </c>
      <c r="BA51" s="31">
        <f t="shared" si="75"/>
        <v>26800</v>
      </c>
      <c r="BD51" s="55">
        <f t="shared" si="38"/>
        <v>69.345000000000013</v>
      </c>
      <c r="BE51" s="55">
        <f t="shared" si="39"/>
        <v>92.460000000000008</v>
      </c>
      <c r="BF51" s="55">
        <f t="shared" si="40"/>
        <v>184.92000000000002</v>
      </c>
      <c r="BI51" s="55">
        <f t="shared" si="41"/>
        <v>360.79500000000002</v>
      </c>
      <c r="BJ51" s="55">
        <f t="shared" si="42"/>
        <v>481.06</v>
      </c>
      <c r="BK51" s="55">
        <f t="shared" si="43"/>
        <v>962.12</v>
      </c>
      <c r="BN51" s="56">
        <f t="shared" si="44"/>
        <v>129665.1</v>
      </c>
      <c r="BO51" s="56">
        <f t="shared" si="45"/>
        <v>172886.80000000002</v>
      </c>
      <c r="BP51" s="56">
        <f t="shared" si="46"/>
        <v>345773.60000000003</v>
      </c>
      <c r="BR51" s="54"/>
    </row>
    <row r="52" spans="1:70" x14ac:dyDescent="0.2">
      <c r="A52" s="6">
        <v>42795</v>
      </c>
      <c r="B52" s="53" t="s">
        <v>166</v>
      </c>
      <c r="C52" s="17" t="s">
        <v>4</v>
      </c>
      <c r="D52" s="17" t="s">
        <v>10</v>
      </c>
      <c r="E52" s="26">
        <v>0.93</v>
      </c>
      <c r="F52" s="25">
        <v>0.93</v>
      </c>
      <c r="G52" s="17"/>
      <c r="H52" s="17">
        <v>10</v>
      </c>
      <c r="I52" s="17">
        <f t="shared" si="61"/>
        <v>1.61</v>
      </c>
      <c r="J52" s="22">
        <f t="shared" si="62"/>
        <v>2.13</v>
      </c>
      <c r="K52" s="22">
        <f t="shared" si="63"/>
        <v>2.8000000000000003</v>
      </c>
      <c r="L52" s="22">
        <f t="shared" si="47"/>
        <v>3.22</v>
      </c>
      <c r="M52" s="22">
        <f t="shared" si="48"/>
        <v>4.0250000000000004</v>
      </c>
      <c r="N52" s="22">
        <f t="shared" si="49"/>
        <v>4.83</v>
      </c>
      <c r="O52" s="22">
        <f t="shared" si="50"/>
        <v>5.6350000000000007</v>
      </c>
      <c r="P52" s="30">
        <f t="shared" si="64"/>
        <v>9.6600000000000019</v>
      </c>
      <c r="Q52" s="30">
        <f t="shared" si="65"/>
        <v>10.867500000000001</v>
      </c>
      <c r="R52" s="30">
        <f t="shared" si="66"/>
        <v>11.471250000000001</v>
      </c>
      <c r="S52" s="30">
        <f t="shared" si="67"/>
        <v>11.27</v>
      </c>
      <c r="T52" s="30">
        <f t="shared" si="68"/>
        <v>12.075000000000001</v>
      </c>
      <c r="U52" s="17">
        <f t="shared" si="51"/>
        <v>16.100000000000001</v>
      </c>
      <c r="V52" s="30">
        <f t="shared" si="77"/>
        <v>32.200000000000003</v>
      </c>
      <c r="W52" s="21"/>
      <c r="X52" s="23">
        <f t="shared" si="53"/>
        <v>22540.000000000004</v>
      </c>
      <c r="Y52" s="23"/>
      <c r="Z52" s="23">
        <f t="shared" si="54"/>
        <v>38640.000000000007</v>
      </c>
      <c r="AA52" s="23">
        <f t="shared" si="55"/>
        <v>48300.000000000007</v>
      </c>
      <c r="AB52" s="23">
        <f t="shared" si="55"/>
        <v>64400.000000000007</v>
      </c>
      <c r="AE52" s="36">
        <f t="shared" si="56"/>
        <v>2.21</v>
      </c>
      <c r="AF52" s="37">
        <f t="shared" si="70"/>
        <v>2145.91</v>
      </c>
      <c r="AG52" s="28">
        <f t="shared" si="57"/>
        <v>9379.8600000000024</v>
      </c>
      <c r="AH52" s="28">
        <f t="shared" si="71"/>
        <v>11724.825000000001</v>
      </c>
      <c r="AI52" s="28">
        <f t="shared" si="71"/>
        <v>15633.100000000002</v>
      </c>
      <c r="AJ52" s="28">
        <f t="shared" si="71"/>
        <v>31266.200000000004</v>
      </c>
      <c r="AK52" s="38"/>
      <c r="AL52" s="39">
        <v>2.21</v>
      </c>
      <c r="AM52" s="40">
        <f t="shared" si="72"/>
        <v>137.02000000000001</v>
      </c>
      <c r="AN52" s="28">
        <f t="shared" si="58"/>
        <v>598.92000000000007</v>
      </c>
      <c r="AO52" s="28">
        <f t="shared" si="73"/>
        <v>748.65000000000009</v>
      </c>
      <c r="AP52" s="28">
        <f t="shared" si="73"/>
        <v>998.2</v>
      </c>
      <c r="AQ52" s="28">
        <f t="shared" si="73"/>
        <v>1996.4</v>
      </c>
      <c r="AS52" s="28">
        <f t="shared" si="59"/>
        <v>74.382000000000019</v>
      </c>
      <c r="AT52" s="28">
        <f t="shared" si="74"/>
        <v>92.977500000000006</v>
      </c>
      <c r="AU52" s="28">
        <f t="shared" si="74"/>
        <v>123.97000000000001</v>
      </c>
      <c r="AV52" s="28">
        <f t="shared" si="74"/>
        <v>247.94000000000003</v>
      </c>
      <c r="AX52" s="31">
        <f t="shared" si="60"/>
        <v>4830.0000000000009</v>
      </c>
      <c r="AY52" s="31">
        <f t="shared" si="75"/>
        <v>6037.5000000000009</v>
      </c>
      <c r="AZ52" s="31">
        <f t="shared" si="75"/>
        <v>8050.0000000000009</v>
      </c>
      <c r="BA52" s="31">
        <f t="shared" si="75"/>
        <v>16100.000000000002</v>
      </c>
      <c r="BD52" s="55">
        <f t="shared" si="38"/>
        <v>41.658750000000005</v>
      </c>
      <c r="BE52" s="55">
        <f t="shared" si="39"/>
        <v>55.545000000000009</v>
      </c>
      <c r="BF52" s="55">
        <f t="shared" si="40"/>
        <v>111.09000000000002</v>
      </c>
      <c r="BI52" s="55">
        <f t="shared" si="41"/>
        <v>216.74625</v>
      </c>
      <c r="BJ52" s="55">
        <f t="shared" si="42"/>
        <v>288.995</v>
      </c>
      <c r="BK52" s="55">
        <f t="shared" si="43"/>
        <v>577.99</v>
      </c>
      <c r="BN52" s="56">
        <f t="shared" si="44"/>
        <v>77895.825000000012</v>
      </c>
      <c r="BO52" s="56">
        <f t="shared" si="45"/>
        <v>103861.1</v>
      </c>
      <c r="BP52" s="56">
        <f t="shared" si="46"/>
        <v>207722.2</v>
      </c>
      <c r="BR52" s="54"/>
    </row>
    <row r="53" spans="1:70" x14ac:dyDescent="0.2">
      <c r="A53" s="14">
        <v>42800</v>
      </c>
      <c r="B53" s="53" t="s">
        <v>167</v>
      </c>
      <c r="C53" s="17" t="s">
        <v>8</v>
      </c>
      <c r="D53" s="17" t="s">
        <v>10</v>
      </c>
      <c r="E53" s="18">
        <v>1.27</v>
      </c>
      <c r="F53" s="25">
        <v>3</v>
      </c>
      <c r="G53" s="17"/>
      <c r="H53" s="17">
        <v>50</v>
      </c>
      <c r="I53" s="17">
        <f t="shared" si="61"/>
        <v>3.68</v>
      </c>
      <c r="J53" s="22">
        <f t="shared" si="62"/>
        <v>4.2</v>
      </c>
      <c r="K53" s="22">
        <f t="shared" si="63"/>
        <v>4.87</v>
      </c>
      <c r="L53" s="22">
        <f t="shared" si="47"/>
        <v>7.36</v>
      </c>
      <c r="M53" s="22">
        <f t="shared" si="48"/>
        <v>9.2000000000000011</v>
      </c>
      <c r="N53" s="22">
        <f t="shared" si="49"/>
        <v>11.040000000000001</v>
      </c>
      <c r="O53" s="22">
        <f t="shared" si="50"/>
        <v>12.88</v>
      </c>
      <c r="P53" s="30">
        <f t="shared" si="64"/>
        <v>22.080000000000002</v>
      </c>
      <c r="Q53" s="30">
        <f t="shared" si="65"/>
        <v>24.840000000000003</v>
      </c>
      <c r="R53" s="30">
        <f t="shared" si="66"/>
        <v>26.22</v>
      </c>
      <c r="S53" s="30">
        <f t="shared" si="67"/>
        <v>25.76</v>
      </c>
      <c r="T53" s="30">
        <f t="shared" si="68"/>
        <v>27.6</v>
      </c>
      <c r="U53" s="17">
        <f t="shared" si="51"/>
        <v>36.800000000000004</v>
      </c>
      <c r="V53" s="30">
        <f t="shared" si="77"/>
        <v>73.600000000000009</v>
      </c>
      <c r="W53" s="21"/>
      <c r="X53" s="23">
        <f t="shared" si="53"/>
        <v>51520</v>
      </c>
      <c r="Y53" s="23"/>
      <c r="Z53" s="23">
        <f t="shared" si="54"/>
        <v>88320.000000000015</v>
      </c>
      <c r="AA53" s="23">
        <f t="shared" si="55"/>
        <v>110400</v>
      </c>
      <c r="AB53" s="23">
        <f t="shared" si="55"/>
        <v>147200.00000000003</v>
      </c>
      <c r="AE53" s="36">
        <f t="shared" si="56"/>
        <v>4.28</v>
      </c>
      <c r="AF53" s="37">
        <f t="shared" si="70"/>
        <v>4155.88</v>
      </c>
      <c r="AG53" s="28">
        <f t="shared" si="57"/>
        <v>21439.68</v>
      </c>
      <c r="AH53" s="28">
        <f t="shared" si="71"/>
        <v>26799.600000000002</v>
      </c>
      <c r="AI53" s="28">
        <f t="shared" si="71"/>
        <v>35732.800000000003</v>
      </c>
      <c r="AJ53" s="28">
        <f t="shared" si="71"/>
        <v>71465.600000000006</v>
      </c>
      <c r="AK53" s="38"/>
      <c r="AL53" s="39">
        <v>4.28</v>
      </c>
      <c r="AM53" s="40">
        <f t="shared" si="72"/>
        <v>265.36</v>
      </c>
      <c r="AN53" s="28">
        <f t="shared" si="58"/>
        <v>1368.96</v>
      </c>
      <c r="AO53" s="28">
        <f t="shared" si="73"/>
        <v>1711.2</v>
      </c>
      <c r="AP53" s="28">
        <f t="shared" si="73"/>
        <v>2281.6000000000004</v>
      </c>
      <c r="AQ53" s="28">
        <f t="shared" si="73"/>
        <v>4563.2000000000007</v>
      </c>
      <c r="AS53" s="28">
        <f t="shared" si="59"/>
        <v>170.01600000000002</v>
      </c>
      <c r="AT53" s="28">
        <f t="shared" si="74"/>
        <v>212.52</v>
      </c>
      <c r="AU53" s="28">
        <f t="shared" si="74"/>
        <v>283.36</v>
      </c>
      <c r="AV53" s="28">
        <f t="shared" si="74"/>
        <v>566.72</v>
      </c>
      <c r="AX53" s="31">
        <f t="shared" si="60"/>
        <v>11040.000000000002</v>
      </c>
      <c r="AY53" s="31">
        <f t="shared" si="75"/>
        <v>13800</v>
      </c>
      <c r="AZ53" s="31">
        <f t="shared" si="75"/>
        <v>18400.000000000004</v>
      </c>
      <c r="BA53" s="31">
        <f t="shared" si="75"/>
        <v>36800.000000000007</v>
      </c>
      <c r="BD53" s="55">
        <f t="shared" si="38"/>
        <v>95.220000000000013</v>
      </c>
      <c r="BE53" s="55">
        <f t="shared" si="39"/>
        <v>126.96000000000002</v>
      </c>
      <c r="BF53" s="55">
        <f t="shared" si="40"/>
        <v>253.92000000000004</v>
      </c>
      <c r="BI53" s="55">
        <f t="shared" si="41"/>
        <v>495.42</v>
      </c>
      <c r="BJ53" s="55">
        <f t="shared" si="42"/>
        <v>660.56000000000006</v>
      </c>
      <c r="BK53" s="55">
        <f t="shared" si="43"/>
        <v>1321.1200000000001</v>
      </c>
      <c r="BN53" s="56">
        <f t="shared" si="44"/>
        <v>178047.6</v>
      </c>
      <c r="BO53" s="56">
        <f t="shared" si="45"/>
        <v>237396.80000000002</v>
      </c>
      <c r="BP53" s="56">
        <f t="shared" si="46"/>
        <v>474793.60000000003</v>
      </c>
      <c r="BR53" s="54"/>
    </row>
    <row r="54" spans="1:70" x14ac:dyDescent="0.2">
      <c r="A54" s="14">
        <v>42830</v>
      </c>
      <c r="B54" s="53" t="s">
        <v>168</v>
      </c>
      <c r="C54" s="17" t="s">
        <v>9</v>
      </c>
      <c r="D54" s="17" t="s">
        <v>10</v>
      </c>
      <c r="E54" s="18">
        <v>2.1</v>
      </c>
      <c r="F54" s="25">
        <v>4.5</v>
      </c>
      <c r="G54" s="17"/>
      <c r="H54" s="17">
        <v>40</v>
      </c>
      <c r="I54" s="17">
        <f t="shared" si="61"/>
        <v>5.18</v>
      </c>
      <c r="J54" s="22">
        <f t="shared" si="62"/>
        <v>5.7</v>
      </c>
      <c r="K54" s="22">
        <f t="shared" si="63"/>
        <v>6.37</v>
      </c>
      <c r="L54" s="22">
        <f t="shared" si="47"/>
        <v>10.36</v>
      </c>
      <c r="M54" s="22">
        <f t="shared" si="48"/>
        <v>12.95</v>
      </c>
      <c r="N54" s="22">
        <f t="shared" si="49"/>
        <v>15.54</v>
      </c>
      <c r="O54" s="22">
        <f t="shared" si="50"/>
        <v>18.13</v>
      </c>
      <c r="P54" s="30">
        <f t="shared" si="64"/>
        <v>31.08</v>
      </c>
      <c r="Q54" s="30">
        <f t="shared" si="65"/>
        <v>34.964999999999996</v>
      </c>
      <c r="R54" s="30">
        <f t="shared" si="66"/>
        <v>36.907499999999992</v>
      </c>
      <c r="S54" s="30">
        <f t="shared" si="67"/>
        <v>36.26</v>
      </c>
      <c r="T54" s="30">
        <f t="shared" si="68"/>
        <v>38.849999999999994</v>
      </c>
      <c r="U54" s="17">
        <f t="shared" si="51"/>
        <v>51.8</v>
      </c>
      <c r="V54" s="30">
        <f t="shared" si="77"/>
        <v>103.6</v>
      </c>
      <c r="W54" s="21"/>
      <c r="X54" s="23">
        <f t="shared" si="53"/>
        <v>72520</v>
      </c>
      <c r="Y54" s="23"/>
      <c r="Z54" s="23">
        <f t="shared" si="54"/>
        <v>124320</v>
      </c>
      <c r="AA54" s="23">
        <f t="shared" ref="AA54:AB97" si="78">T54*4000</f>
        <v>155399.99999999997</v>
      </c>
      <c r="AB54" s="23">
        <f t="shared" si="78"/>
        <v>207200</v>
      </c>
      <c r="AE54" s="36">
        <f t="shared" si="56"/>
        <v>5.7799999999999994</v>
      </c>
      <c r="AF54" s="37">
        <f t="shared" si="70"/>
        <v>5612.3799999999992</v>
      </c>
      <c r="AG54" s="28">
        <f t="shared" si="57"/>
        <v>30178.679999999997</v>
      </c>
      <c r="AH54" s="28">
        <f t="shared" si="71"/>
        <v>37723.349999999991</v>
      </c>
      <c r="AI54" s="28">
        <f t="shared" si="71"/>
        <v>50297.799999999996</v>
      </c>
      <c r="AJ54" s="28">
        <f t="shared" si="71"/>
        <v>100595.59999999999</v>
      </c>
      <c r="AK54" s="38"/>
      <c r="AL54" s="39">
        <v>5.7799999999999994</v>
      </c>
      <c r="AM54" s="40">
        <f t="shared" si="72"/>
        <v>358.35999999999996</v>
      </c>
      <c r="AN54" s="28">
        <f t="shared" si="58"/>
        <v>1926.9599999999998</v>
      </c>
      <c r="AO54" s="28">
        <f t="shared" si="73"/>
        <v>2408.6999999999998</v>
      </c>
      <c r="AP54" s="28">
        <f t="shared" si="73"/>
        <v>3211.6</v>
      </c>
      <c r="AQ54" s="28">
        <f t="shared" si="73"/>
        <v>6423.2</v>
      </c>
      <c r="AS54" s="28">
        <f t="shared" si="59"/>
        <v>239.316</v>
      </c>
      <c r="AT54" s="28">
        <f t="shared" si="74"/>
        <v>299.14499999999998</v>
      </c>
      <c r="AU54" s="28">
        <f t="shared" si="74"/>
        <v>398.86</v>
      </c>
      <c r="AV54" s="28">
        <f t="shared" si="74"/>
        <v>797.72</v>
      </c>
      <c r="AX54" s="31">
        <f t="shared" si="60"/>
        <v>15540</v>
      </c>
      <c r="AY54" s="31">
        <f t="shared" si="75"/>
        <v>19424.999999999996</v>
      </c>
      <c r="AZ54" s="31">
        <f t="shared" si="75"/>
        <v>25900</v>
      </c>
      <c r="BA54" s="31">
        <f t="shared" si="75"/>
        <v>51800</v>
      </c>
      <c r="BD54" s="55">
        <f t="shared" si="38"/>
        <v>134.0325</v>
      </c>
      <c r="BE54" s="55">
        <f t="shared" si="39"/>
        <v>178.71</v>
      </c>
      <c r="BF54" s="55">
        <f t="shared" si="40"/>
        <v>357.42</v>
      </c>
      <c r="BI54" s="55">
        <f t="shared" si="41"/>
        <v>697.35749999999985</v>
      </c>
      <c r="BJ54" s="55">
        <f t="shared" si="42"/>
        <v>929.81</v>
      </c>
      <c r="BK54" s="55">
        <f t="shared" si="43"/>
        <v>1859.62</v>
      </c>
      <c r="BN54" s="56">
        <f t="shared" si="44"/>
        <v>250621.34999999998</v>
      </c>
      <c r="BO54" s="56">
        <f t="shared" si="45"/>
        <v>334161.8</v>
      </c>
      <c r="BP54" s="56">
        <f t="shared" si="46"/>
        <v>668323.6</v>
      </c>
      <c r="BR54" s="54"/>
    </row>
    <row r="55" spans="1:70" x14ac:dyDescent="0.2">
      <c r="A55" s="14">
        <v>42982</v>
      </c>
      <c r="B55" s="51" t="s">
        <v>169</v>
      </c>
      <c r="C55" s="52" t="s">
        <v>15</v>
      </c>
      <c r="D55" s="52" t="s">
        <v>12</v>
      </c>
      <c r="E55" s="18"/>
      <c r="F55" s="25">
        <v>2.89</v>
      </c>
      <c r="G55" s="17"/>
      <c r="H55" s="17"/>
      <c r="I55" s="17">
        <f t="shared" si="61"/>
        <v>3.5700000000000003</v>
      </c>
      <c r="J55" s="22">
        <f t="shared" si="62"/>
        <v>4.09</v>
      </c>
      <c r="K55" s="22">
        <f t="shared" si="63"/>
        <v>4.76</v>
      </c>
      <c r="L55" s="22">
        <f t="shared" si="47"/>
        <v>7.1400000000000006</v>
      </c>
      <c r="M55" s="22">
        <f t="shared" si="48"/>
        <v>8.9250000000000007</v>
      </c>
      <c r="N55" s="22">
        <f t="shared" si="49"/>
        <v>10.71</v>
      </c>
      <c r="O55" s="22">
        <f t="shared" si="50"/>
        <v>12.495000000000001</v>
      </c>
      <c r="P55" s="30">
        <f t="shared" si="64"/>
        <v>21.42</v>
      </c>
      <c r="Q55" s="30">
        <f t="shared" si="65"/>
        <v>24.097500000000004</v>
      </c>
      <c r="R55" s="30">
        <f t="shared" si="66"/>
        <v>25.436250000000001</v>
      </c>
      <c r="S55" s="30">
        <f t="shared" si="67"/>
        <v>24.990000000000002</v>
      </c>
      <c r="T55" s="30">
        <f t="shared" si="68"/>
        <v>26.775000000000002</v>
      </c>
      <c r="U55" s="17">
        <f t="shared" si="51"/>
        <v>35.700000000000003</v>
      </c>
      <c r="V55" s="30">
        <f t="shared" si="77"/>
        <v>71.400000000000006</v>
      </c>
      <c r="W55" s="21"/>
      <c r="X55" s="23">
        <f t="shared" si="53"/>
        <v>49980.000000000007</v>
      </c>
      <c r="Y55" s="23"/>
      <c r="Z55" s="23">
        <f t="shared" si="54"/>
        <v>85680</v>
      </c>
      <c r="AA55" s="23">
        <f t="shared" si="78"/>
        <v>107100.00000000001</v>
      </c>
      <c r="AB55" s="23">
        <f t="shared" si="78"/>
        <v>142800</v>
      </c>
      <c r="AE55" s="36">
        <f t="shared" si="56"/>
        <v>4.17</v>
      </c>
      <c r="AF55" s="37">
        <f t="shared" si="70"/>
        <v>4049.0699999999997</v>
      </c>
      <c r="AG55" s="28">
        <f t="shared" si="57"/>
        <v>20798.820000000003</v>
      </c>
      <c r="AH55" s="28">
        <f t="shared" si="71"/>
        <v>25998.525000000001</v>
      </c>
      <c r="AI55" s="28">
        <f t="shared" si="71"/>
        <v>34664.700000000004</v>
      </c>
      <c r="AJ55" s="28">
        <f t="shared" si="71"/>
        <v>69329.400000000009</v>
      </c>
      <c r="AK55" s="38"/>
      <c r="AL55" s="39"/>
      <c r="AM55" s="40"/>
      <c r="AN55" s="28">
        <f t="shared" si="58"/>
        <v>1328.0400000000002</v>
      </c>
      <c r="AO55" s="28">
        <f t="shared" si="73"/>
        <v>1660.0500000000002</v>
      </c>
      <c r="AP55" s="28">
        <f t="shared" si="73"/>
        <v>2213.4</v>
      </c>
      <c r="AQ55" s="28">
        <f t="shared" si="73"/>
        <v>4426.8</v>
      </c>
      <c r="AS55" s="28">
        <f t="shared" si="59"/>
        <v>164.93400000000003</v>
      </c>
      <c r="AT55" s="28">
        <f t="shared" si="74"/>
        <v>206.16750000000002</v>
      </c>
      <c r="AU55" s="28">
        <f t="shared" si="74"/>
        <v>274.89000000000004</v>
      </c>
      <c r="AV55" s="28">
        <f t="shared" si="74"/>
        <v>549.78000000000009</v>
      </c>
      <c r="AX55" s="31">
        <f t="shared" si="60"/>
        <v>10710</v>
      </c>
      <c r="AY55" s="31">
        <f t="shared" si="75"/>
        <v>13387.500000000002</v>
      </c>
      <c r="AZ55" s="31">
        <f t="shared" si="75"/>
        <v>17850</v>
      </c>
      <c r="BA55" s="31">
        <f t="shared" si="75"/>
        <v>35700</v>
      </c>
      <c r="BD55" s="55">
        <f t="shared" si="38"/>
        <v>92.373750000000015</v>
      </c>
      <c r="BE55" s="55">
        <f t="shared" si="39"/>
        <v>123.16500000000002</v>
      </c>
      <c r="BF55" s="55">
        <f t="shared" si="40"/>
        <v>246.33000000000004</v>
      </c>
      <c r="BI55" s="55">
        <f t="shared" si="41"/>
        <v>480.61125000000004</v>
      </c>
      <c r="BJ55" s="55">
        <f t="shared" si="42"/>
        <v>640.81500000000005</v>
      </c>
      <c r="BK55" s="55">
        <f t="shared" si="43"/>
        <v>1281.6300000000001</v>
      </c>
      <c r="BN55" s="56">
        <f t="shared" si="44"/>
        <v>172725.52500000002</v>
      </c>
      <c r="BO55" s="56">
        <f t="shared" si="45"/>
        <v>230300.7</v>
      </c>
      <c r="BP55" s="56">
        <f t="shared" si="46"/>
        <v>460601.4</v>
      </c>
      <c r="BR55" s="54"/>
    </row>
    <row r="56" spans="1:70" x14ac:dyDescent="0.2">
      <c r="A56" s="14">
        <v>42900</v>
      </c>
      <c r="B56" s="51" t="s">
        <v>170</v>
      </c>
      <c r="C56" s="17" t="s">
        <v>8</v>
      </c>
      <c r="D56" s="17" t="s">
        <v>10</v>
      </c>
      <c r="E56" s="18">
        <v>3.38</v>
      </c>
      <c r="F56" s="25">
        <v>4.9514285714285702</v>
      </c>
      <c r="G56" s="17"/>
      <c r="H56" s="17">
        <v>20</v>
      </c>
      <c r="I56" s="30">
        <f t="shared" si="61"/>
        <v>5.6314285714285699</v>
      </c>
      <c r="J56" s="22">
        <f t="shared" si="62"/>
        <v>6.1514285714285704</v>
      </c>
      <c r="K56" s="22">
        <f t="shared" si="63"/>
        <v>6.8214285714285703</v>
      </c>
      <c r="L56" s="22">
        <f t="shared" si="47"/>
        <v>11.26285714285714</v>
      </c>
      <c r="M56" s="22">
        <f t="shared" si="48"/>
        <v>14.078571428571426</v>
      </c>
      <c r="N56" s="22">
        <f t="shared" si="49"/>
        <v>16.894285714285708</v>
      </c>
      <c r="O56" s="22">
        <f t="shared" si="50"/>
        <v>19.709999999999994</v>
      </c>
      <c r="P56" s="30">
        <f t="shared" si="64"/>
        <v>27.030857142857133</v>
      </c>
      <c r="Q56" s="30">
        <f t="shared" si="65"/>
        <v>30.409714285714276</v>
      </c>
      <c r="R56" s="30">
        <f t="shared" si="66"/>
        <v>32.099142857142844</v>
      </c>
      <c r="S56" s="30">
        <f t="shared" si="67"/>
        <v>31.535999999999991</v>
      </c>
      <c r="T56" s="30">
        <f t="shared" si="68"/>
        <v>33.788571428571416</v>
      </c>
      <c r="U56" s="30">
        <f>I56*8</f>
        <v>45.051428571428559</v>
      </c>
      <c r="V56" s="30">
        <f>I56*17</f>
        <v>95.73428571428569</v>
      </c>
      <c r="W56" s="22" t="s">
        <v>52</v>
      </c>
      <c r="X56" s="23">
        <f t="shared" si="53"/>
        <v>78839.999999999971</v>
      </c>
      <c r="Y56" s="23"/>
      <c r="Z56" s="23">
        <f t="shared" si="54"/>
        <v>108123.42857142854</v>
      </c>
      <c r="AA56" s="23">
        <f t="shared" si="78"/>
        <v>135154.28571428565</v>
      </c>
      <c r="AB56" s="23">
        <f t="shared" si="78"/>
        <v>180205.71428571423</v>
      </c>
      <c r="AC56" s="1" t="s">
        <v>44</v>
      </c>
      <c r="AE56" s="36">
        <f t="shared" si="56"/>
        <v>6.2314285714285695</v>
      </c>
      <c r="AF56" s="37">
        <f t="shared" si="70"/>
        <v>6050.717142857141</v>
      </c>
      <c r="AG56" s="28">
        <f t="shared" si="57"/>
        <v>26246.962285714275</v>
      </c>
      <c r="AH56" s="28">
        <f t="shared" si="71"/>
        <v>32808.702857142845</v>
      </c>
      <c r="AI56" s="28">
        <f t="shared" si="71"/>
        <v>43744.937142857132</v>
      </c>
      <c r="AJ56" s="28">
        <f t="shared" si="71"/>
        <v>92957.991428571404</v>
      </c>
      <c r="AK56" s="38"/>
      <c r="AL56" s="39">
        <v>6.2314285714285695</v>
      </c>
      <c r="AM56" s="40">
        <f t="shared" si="72"/>
        <v>386.34857142857129</v>
      </c>
      <c r="AN56" s="28">
        <f t="shared" si="58"/>
        <v>1675.9131428571422</v>
      </c>
      <c r="AO56" s="28">
        <f t="shared" si="73"/>
        <v>2094.8914285714277</v>
      </c>
      <c r="AP56" s="28">
        <f t="shared" si="73"/>
        <v>2793.1885714285709</v>
      </c>
      <c r="AQ56" s="28">
        <f t="shared" si="73"/>
        <v>5935.5257142857126</v>
      </c>
      <c r="AS56" s="28">
        <f t="shared" si="59"/>
        <v>208.13759999999994</v>
      </c>
      <c r="AT56" s="28">
        <f t="shared" si="74"/>
        <v>260.17199999999991</v>
      </c>
      <c r="AU56" s="28">
        <f t="shared" si="74"/>
        <v>346.8959999999999</v>
      </c>
      <c r="AV56" s="28">
        <f t="shared" si="74"/>
        <v>737.15399999999988</v>
      </c>
      <c r="AX56" s="31">
        <f t="shared" si="60"/>
        <v>13515.428571428567</v>
      </c>
      <c r="AY56" s="31">
        <f t="shared" si="75"/>
        <v>16894.285714285706</v>
      </c>
      <c r="AZ56" s="31">
        <f t="shared" si="75"/>
        <v>22525.714285714279</v>
      </c>
      <c r="BA56" s="31">
        <f t="shared" si="75"/>
        <v>47867.142857142848</v>
      </c>
      <c r="BD56" s="55">
        <f t="shared" si="38"/>
        <v>116.57057142857138</v>
      </c>
      <c r="BE56" s="55">
        <f t="shared" si="39"/>
        <v>155.42742857142855</v>
      </c>
      <c r="BF56" s="55">
        <f t="shared" si="40"/>
        <v>330.28328571428563</v>
      </c>
      <c r="BI56" s="55">
        <f t="shared" si="41"/>
        <v>606.50485714285685</v>
      </c>
      <c r="BJ56" s="55">
        <f t="shared" si="42"/>
        <v>808.67314285714258</v>
      </c>
      <c r="BK56" s="55">
        <f t="shared" si="43"/>
        <v>1718.4304285714281</v>
      </c>
      <c r="BN56" s="56">
        <f t="shared" si="44"/>
        <v>217970.07428571422</v>
      </c>
      <c r="BO56" s="56">
        <f t="shared" si="45"/>
        <v>290626.76571428566</v>
      </c>
      <c r="BP56" s="56">
        <f t="shared" si="46"/>
        <v>617581.87714285695</v>
      </c>
      <c r="BR56" s="54"/>
    </row>
    <row r="57" spans="1:70" x14ac:dyDescent="0.2">
      <c r="A57" s="14">
        <v>42925</v>
      </c>
      <c r="B57" s="51" t="s">
        <v>171</v>
      </c>
      <c r="C57" s="17" t="s">
        <v>17</v>
      </c>
      <c r="D57" s="17" t="s">
        <v>10</v>
      </c>
      <c r="E57" s="18">
        <v>3.52</v>
      </c>
      <c r="F57" s="25">
        <v>5.3057142857142896</v>
      </c>
      <c r="G57" s="17"/>
      <c r="H57" s="17">
        <v>20</v>
      </c>
      <c r="I57" s="30">
        <f t="shared" si="61"/>
        <v>5.9857142857142893</v>
      </c>
      <c r="J57" s="22">
        <f t="shared" si="62"/>
        <v>6.5057142857142898</v>
      </c>
      <c r="K57" s="22">
        <f t="shared" si="63"/>
        <v>7.1757142857142897</v>
      </c>
      <c r="L57" s="22">
        <f t="shared" si="47"/>
        <v>11.971428571428579</v>
      </c>
      <c r="M57" s="22">
        <f t="shared" si="48"/>
        <v>14.964285714285722</v>
      </c>
      <c r="N57" s="22">
        <f t="shared" si="49"/>
        <v>17.95714285714287</v>
      </c>
      <c r="O57" s="22">
        <f t="shared" si="50"/>
        <v>20.950000000000014</v>
      </c>
      <c r="P57" s="30">
        <f t="shared" si="64"/>
        <v>28.731428571428594</v>
      </c>
      <c r="Q57" s="30">
        <f t="shared" si="65"/>
        <v>32.322857142857167</v>
      </c>
      <c r="R57" s="30">
        <f t="shared" si="66"/>
        <v>34.11857142857145</v>
      </c>
      <c r="S57" s="30">
        <f t="shared" si="67"/>
        <v>33.520000000000017</v>
      </c>
      <c r="T57" s="30">
        <f t="shared" si="68"/>
        <v>35.914285714285739</v>
      </c>
      <c r="U57" s="30">
        <f>I57*8</f>
        <v>47.885714285714315</v>
      </c>
      <c r="V57" s="30">
        <f>I57*17</f>
        <v>101.75714285714292</v>
      </c>
      <c r="W57" s="22" t="s">
        <v>52</v>
      </c>
      <c r="X57" s="23">
        <f t="shared" si="53"/>
        <v>83800.000000000058</v>
      </c>
      <c r="Y57" s="23"/>
      <c r="Z57" s="23">
        <f t="shared" si="54"/>
        <v>114925.71428571438</v>
      </c>
      <c r="AA57" s="23">
        <f t="shared" si="78"/>
        <v>143657.14285714296</v>
      </c>
      <c r="AB57" s="23">
        <f t="shared" si="78"/>
        <v>191542.85714285725</v>
      </c>
      <c r="AC57" s="1" t="s">
        <v>44</v>
      </c>
      <c r="AE57" s="36">
        <f t="shared" si="56"/>
        <v>6.585714285714289</v>
      </c>
      <c r="AF57" s="37">
        <f t="shared" si="70"/>
        <v>6394.7285714285745</v>
      </c>
      <c r="AG57" s="28">
        <f t="shared" si="57"/>
        <v>27898.217142857164</v>
      </c>
      <c r="AH57" s="28">
        <f t="shared" si="71"/>
        <v>34872.771428571454</v>
      </c>
      <c r="AI57" s="28">
        <f t="shared" si="71"/>
        <v>46497.0285714286</v>
      </c>
      <c r="AJ57" s="28">
        <f t="shared" si="71"/>
        <v>98806.185714285777</v>
      </c>
      <c r="AK57" s="38"/>
      <c r="AL57" s="39">
        <v>6.585714285714289</v>
      </c>
      <c r="AM57" s="40">
        <f t="shared" si="72"/>
        <v>408.31428571428592</v>
      </c>
      <c r="AN57" s="28">
        <f t="shared" si="58"/>
        <v>1781.3485714285728</v>
      </c>
      <c r="AO57" s="28">
        <f t="shared" si="73"/>
        <v>2226.6857142857157</v>
      </c>
      <c r="AP57" s="28">
        <f t="shared" si="73"/>
        <v>2968.9142857142874</v>
      </c>
      <c r="AQ57" s="28">
        <f t="shared" si="73"/>
        <v>6308.9428571428616</v>
      </c>
      <c r="AS57" s="28">
        <f t="shared" si="59"/>
        <v>221.23200000000017</v>
      </c>
      <c r="AT57" s="28">
        <f t="shared" si="74"/>
        <v>276.54000000000019</v>
      </c>
      <c r="AU57" s="28">
        <f t="shared" si="74"/>
        <v>368.72000000000025</v>
      </c>
      <c r="AV57" s="28">
        <f t="shared" si="74"/>
        <v>783.53000000000054</v>
      </c>
      <c r="AX57" s="31">
        <f t="shared" si="60"/>
        <v>14365.714285714297</v>
      </c>
      <c r="AY57" s="31">
        <f t="shared" si="75"/>
        <v>17957.14285714287</v>
      </c>
      <c r="AZ57" s="31">
        <f t="shared" si="75"/>
        <v>23942.857142857156</v>
      </c>
      <c r="BA57" s="31">
        <f t="shared" si="75"/>
        <v>50878.571428571464</v>
      </c>
      <c r="BD57" s="55">
        <f t="shared" si="38"/>
        <v>123.90428571428581</v>
      </c>
      <c r="BE57" s="55">
        <f t="shared" si="39"/>
        <v>165.20571428571441</v>
      </c>
      <c r="BF57" s="55">
        <f t="shared" si="40"/>
        <v>351.0621428571431</v>
      </c>
      <c r="BI57" s="55">
        <f t="shared" si="41"/>
        <v>644.66142857142904</v>
      </c>
      <c r="BJ57" s="55">
        <f t="shared" si="42"/>
        <v>859.5485714285719</v>
      </c>
      <c r="BK57" s="55">
        <f t="shared" si="43"/>
        <v>1826.5407142857155</v>
      </c>
      <c r="BN57" s="56">
        <f t="shared" si="44"/>
        <v>231683.05714285732</v>
      </c>
      <c r="BO57" s="56">
        <f t="shared" si="45"/>
        <v>308910.74285714305</v>
      </c>
      <c r="BP57" s="56">
        <f t="shared" si="46"/>
        <v>656435.32857142901</v>
      </c>
      <c r="BR57" s="54"/>
    </row>
    <row r="58" spans="1:70" x14ac:dyDescent="0.2">
      <c r="A58" s="14">
        <v>42932</v>
      </c>
      <c r="B58" s="51" t="s">
        <v>172</v>
      </c>
      <c r="C58" s="17" t="s">
        <v>14</v>
      </c>
      <c r="D58" s="17" t="s">
        <v>10</v>
      </c>
      <c r="E58" s="18">
        <v>3.66</v>
      </c>
      <c r="F58" s="25">
        <v>5.5885714285714299</v>
      </c>
      <c r="G58" s="17"/>
      <c r="H58" s="17">
        <v>10</v>
      </c>
      <c r="I58" s="30">
        <f t="shared" si="61"/>
        <v>6.2685714285714296</v>
      </c>
      <c r="J58" s="22">
        <f t="shared" si="62"/>
        <v>6.78857142857143</v>
      </c>
      <c r="K58" s="22">
        <f t="shared" si="63"/>
        <v>7.45857142857143</v>
      </c>
      <c r="L58" s="22">
        <f t="shared" si="47"/>
        <v>12.537142857142859</v>
      </c>
      <c r="M58" s="22">
        <f t="shared" si="48"/>
        <v>15.671428571428574</v>
      </c>
      <c r="N58" s="22">
        <f t="shared" si="49"/>
        <v>18.805714285714288</v>
      </c>
      <c r="O58" s="22">
        <f t="shared" si="50"/>
        <v>21.940000000000005</v>
      </c>
      <c r="P58" s="30">
        <f t="shared" si="64"/>
        <v>30.089142857142861</v>
      </c>
      <c r="Q58" s="30">
        <f t="shared" si="65"/>
        <v>33.850285714285718</v>
      </c>
      <c r="R58" s="30">
        <f t="shared" si="66"/>
        <v>35.730857142857147</v>
      </c>
      <c r="S58" s="30">
        <f t="shared" si="67"/>
        <v>35.104000000000006</v>
      </c>
      <c r="T58" s="30">
        <f t="shared" si="68"/>
        <v>37.611428571428576</v>
      </c>
      <c r="U58" s="30">
        <f>I58*8</f>
        <v>50.148571428571437</v>
      </c>
      <c r="V58" s="30">
        <f>I58*17</f>
        <v>106.56571428571431</v>
      </c>
      <c r="W58" s="22" t="s">
        <v>52</v>
      </c>
      <c r="X58" s="23">
        <f t="shared" si="53"/>
        <v>87760.000000000015</v>
      </c>
      <c r="Y58" s="23"/>
      <c r="Z58" s="23">
        <f t="shared" si="54"/>
        <v>120356.57142857145</v>
      </c>
      <c r="AA58" s="23">
        <f t="shared" si="78"/>
        <v>150445.71428571429</v>
      </c>
      <c r="AB58" s="23">
        <f t="shared" si="78"/>
        <v>200594.28571428574</v>
      </c>
      <c r="AC58" s="1" t="s">
        <v>44</v>
      </c>
      <c r="AE58" s="36">
        <f t="shared" si="56"/>
        <v>6.8685714285714292</v>
      </c>
      <c r="AF58" s="37">
        <f t="shared" si="70"/>
        <v>6669.3828571428576</v>
      </c>
      <c r="AG58" s="28">
        <f t="shared" si="57"/>
        <v>29216.557714285718</v>
      </c>
      <c r="AH58" s="28">
        <f t="shared" si="71"/>
        <v>36520.697142857149</v>
      </c>
      <c r="AI58" s="28">
        <f t="shared" si="71"/>
        <v>48694.262857142865</v>
      </c>
      <c r="AJ58" s="28">
        <f t="shared" si="71"/>
        <v>103475.3085714286</v>
      </c>
      <c r="AK58" s="38"/>
      <c r="AL58" s="39">
        <v>6.8685714285714292</v>
      </c>
      <c r="AM58" s="40">
        <f t="shared" si="72"/>
        <v>425.85142857142858</v>
      </c>
      <c r="AN58" s="28">
        <f t="shared" si="58"/>
        <v>1865.5268571428574</v>
      </c>
      <c r="AO58" s="28">
        <f t="shared" si="73"/>
        <v>2331.9085714285716</v>
      </c>
      <c r="AP58" s="28">
        <f t="shared" si="73"/>
        <v>3109.2114285714292</v>
      </c>
      <c r="AQ58" s="28">
        <f t="shared" si="73"/>
        <v>6607.0742857142868</v>
      </c>
      <c r="AS58" s="28">
        <f t="shared" si="59"/>
        <v>231.68640000000002</v>
      </c>
      <c r="AT58" s="28">
        <f t="shared" si="74"/>
        <v>289.60800000000006</v>
      </c>
      <c r="AU58" s="28">
        <f t="shared" si="74"/>
        <v>386.14400000000006</v>
      </c>
      <c r="AV58" s="28">
        <f t="shared" si="74"/>
        <v>820.55600000000015</v>
      </c>
      <c r="AX58" s="31">
        <f t="shared" si="60"/>
        <v>15044.571428571431</v>
      </c>
      <c r="AY58" s="31">
        <f t="shared" si="75"/>
        <v>18805.714285714286</v>
      </c>
      <c r="AZ58" s="31">
        <f t="shared" si="75"/>
        <v>25074.285714285717</v>
      </c>
      <c r="BA58" s="31">
        <f t="shared" si="75"/>
        <v>53282.857142857152</v>
      </c>
      <c r="BD58" s="55">
        <f t="shared" si="38"/>
        <v>129.7594285714286</v>
      </c>
      <c r="BE58" s="55">
        <f t="shared" si="39"/>
        <v>173.01257142857148</v>
      </c>
      <c r="BF58" s="55">
        <f t="shared" si="40"/>
        <v>367.65171428571438</v>
      </c>
      <c r="BI58" s="55">
        <f t="shared" si="41"/>
        <v>675.12514285714292</v>
      </c>
      <c r="BJ58" s="55">
        <f t="shared" si="42"/>
        <v>900.16685714285722</v>
      </c>
      <c r="BK58" s="55">
        <f t="shared" si="43"/>
        <v>1912.8545714285717</v>
      </c>
      <c r="BN58" s="56">
        <f t="shared" si="44"/>
        <v>242631.32571428575</v>
      </c>
      <c r="BO58" s="56">
        <f t="shared" si="45"/>
        <v>323508.43428571435</v>
      </c>
      <c r="BP58" s="56">
        <f t="shared" si="46"/>
        <v>687455.42285714298</v>
      </c>
      <c r="BR58" s="54"/>
    </row>
    <row r="59" spans="1:70" x14ac:dyDescent="0.2">
      <c r="A59" s="6">
        <v>42986</v>
      </c>
      <c r="B59" s="53" t="s">
        <v>184</v>
      </c>
      <c r="C59" s="17" t="s">
        <v>11</v>
      </c>
      <c r="D59" s="17" t="s">
        <v>10</v>
      </c>
      <c r="E59" s="26">
        <v>0.93</v>
      </c>
      <c r="F59" s="25">
        <v>0.93</v>
      </c>
      <c r="G59" s="17"/>
      <c r="H59" s="17">
        <v>10</v>
      </c>
      <c r="I59" s="17">
        <f t="shared" si="61"/>
        <v>1.61</v>
      </c>
      <c r="J59" s="22">
        <f t="shared" si="62"/>
        <v>2.13</v>
      </c>
      <c r="K59" s="22">
        <f t="shared" si="63"/>
        <v>2.8000000000000003</v>
      </c>
      <c r="L59" s="22">
        <f t="shared" si="47"/>
        <v>3.22</v>
      </c>
      <c r="M59" s="22">
        <f t="shared" si="48"/>
        <v>4.0250000000000004</v>
      </c>
      <c r="N59" s="22">
        <f t="shared" si="49"/>
        <v>4.83</v>
      </c>
      <c r="O59" s="22">
        <f t="shared" si="50"/>
        <v>5.6350000000000007</v>
      </c>
      <c r="P59" s="30">
        <f t="shared" si="64"/>
        <v>9.6600000000000019</v>
      </c>
      <c r="Q59" s="30">
        <f t="shared" si="65"/>
        <v>10.867500000000001</v>
      </c>
      <c r="R59" s="30">
        <f t="shared" si="66"/>
        <v>11.471250000000001</v>
      </c>
      <c r="S59" s="30">
        <f t="shared" si="67"/>
        <v>11.27</v>
      </c>
      <c r="T59" s="30">
        <f t="shared" si="68"/>
        <v>12.075000000000001</v>
      </c>
      <c r="U59" s="30">
        <f>I59*10</f>
        <v>16.100000000000001</v>
      </c>
      <c r="V59" s="30">
        <f t="shared" ref="V59:V82" si="79">I59*20</f>
        <v>32.200000000000003</v>
      </c>
      <c r="W59" s="22"/>
      <c r="X59" s="23">
        <f t="shared" si="53"/>
        <v>22540.000000000004</v>
      </c>
      <c r="Y59" s="23"/>
      <c r="Z59" s="23">
        <f t="shared" si="54"/>
        <v>38640.000000000007</v>
      </c>
      <c r="AA59" s="23">
        <f t="shared" si="78"/>
        <v>48300.000000000007</v>
      </c>
      <c r="AB59" s="23">
        <f t="shared" si="78"/>
        <v>64400.000000000007</v>
      </c>
      <c r="AE59" s="36">
        <f t="shared" si="56"/>
        <v>2.21</v>
      </c>
      <c r="AF59" s="37">
        <f t="shared" si="70"/>
        <v>2145.91</v>
      </c>
      <c r="AG59" s="28">
        <f t="shared" si="57"/>
        <v>9379.8600000000024</v>
      </c>
      <c r="AH59" s="28">
        <f t="shared" si="71"/>
        <v>11724.825000000001</v>
      </c>
      <c r="AI59" s="28">
        <f t="shared" si="71"/>
        <v>15633.100000000002</v>
      </c>
      <c r="AJ59" s="28">
        <f t="shared" si="71"/>
        <v>31266.200000000004</v>
      </c>
      <c r="AK59" s="38"/>
      <c r="AL59" s="39">
        <v>2.21</v>
      </c>
      <c r="AM59" s="40">
        <f t="shared" si="72"/>
        <v>137.02000000000001</v>
      </c>
      <c r="AN59" s="28">
        <f t="shared" si="58"/>
        <v>598.92000000000007</v>
      </c>
      <c r="AO59" s="28">
        <f t="shared" si="73"/>
        <v>748.65000000000009</v>
      </c>
      <c r="AP59" s="28">
        <f t="shared" si="73"/>
        <v>998.2</v>
      </c>
      <c r="AQ59" s="28">
        <f t="shared" si="73"/>
        <v>1996.4</v>
      </c>
      <c r="AS59" s="28">
        <f t="shared" si="59"/>
        <v>74.382000000000019</v>
      </c>
      <c r="AT59" s="28">
        <f t="shared" si="74"/>
        <v>92.977500000000006</v>
      </c>
      <c r="AU59" s="28">
        <f t="shared" si="74"/>
        <v>123.97000000000001</v>
      </c>
      <c r="AV59" s="28">
        <f t="shared" si="74"/>
        <v>247.94000000000003</v>
      </c>
      <c r="AX59" s="31">
        <f t="shared" si="60"/>
        <v>4830.0000000000009</v>
      </c>
      <c r="AY59" s="31">
        <f t="shared" si="75"/>
        <v>6037.5000000000009</v>
      </c>
      <c r="AZ59" s="31">
        <f t="shared" si="75"/>
        <v>8050.0000000000009</v>
      </c>
      <c r="BA59" s="31">
        <f t="shared" si="75"/>
        <v>16100.000000000002</v>
      </c>
      <c r="BD59" s="55">
        <f t="shared" si="38"/>
        <v>41.658750000000005</v>
      </c>
      <c r="BE59" s="55">
        <f t="shared" si="39"/>
        <v>55.545000000000009</v>
      </c>
      <c r="BF59" s="55">
        <f t="shared" si="40"/>
        <v>111.09000000000002</v>
      </c>
      <c r="BI59" s="55">
        <f t="shared" si="41"/>
        <v>216.74625</v>
      </c>
      <c r="BJ59" s="55">
        <f t="shared" si="42"/>
        <v>288.995</v>
      </c>
      <c r="BK59" s="55">
        <f t="shared" si="43"/>
        <v>577.99</v>
      </c>
      <c r="BN59" s="56">
        <f t="shared" si="44"/>
        <v>77895.825000000012</v>
      </c>
      <c r="BO59" s="56">
        <f t="shared" si="45"/>
        <v>103861.1</v>
      </c>
      <c r="BP59" s="56">
        <f t="shared" si="46"/>
        <v>207722.2</v>
      </c>
      <c r="BR59" s="54"/>
    </row>
    <row r="60" spans="1:70" x14ac:dyDescent="0.2">
      <c r="A60" s="14">
        <v>43100</v>
      </c>
      <c r="B60" s="51" t="s">
        <v>185</v>
      </c>
      <c r="C60" s="17" t="s">
        <v>11</v>
      </c>
      <c r="D60" s="17" t="s">
        <v>10</v>
      </c>
      <c r="E60" s="12">
        <v>0.93</v>
      </c>
      <c r="F60" s="25">
        <v>2.0714285714285698</v>
      </c>
      <c r="G60" s="17"/>
      <c r="H60" s="17">
        <v>10</v>
      </c>
      <c r="I60" s="30">
        <f t="shared" si="61"/>
        <v>2.75142857142857</v>
      </c>
      <c r="J60" s="22">
        <f t="shared" si="62"/>
        <v>3.2714285714285696</v>
      </c>
      <c r="K60" s="22">
        <f t="shared" si="63"/>
        <v>3.9414285714285699</v>
      </c>
      <c r="L60" s="22">
        <f t="shared" si="47"/>
        <v>5.50285714285714</v>
      </c>
      <c r="M60" s="22">
        <f t="shared" si="48"/>
        <v>6.8785714285714246</v>
      </c>
      <c r="N60" s="22">
        <f t="shared" si="49"/>
        <v>8.2542857142857109</v>
      </c>
      <c r="O60" s="22">
        <f t="shared" si="50"/>
        <v>9.6299999999999955</v>
      </c>
      <c r="P60" s="30">
        <f t="shared" si="64"/>
        <v>16.508571428571418</v>
      </c>
      <c r="Q60" s="30">
        <f t="shared" si="65"/>
        <v>18.572142857142847</v>
      </c>
      <c r="R60" s="30">
        <f t="shared" si="66"/>
        <v>19.603928571428558</v>
      </c>
      <c r="S60" s="30">
        <f t="shared" si="67"/>
        <v>19.259999999999987</v>
      </c>
      <c r="T60" s="30">
        <f t="shared" si="68"/>
        <v>20.635714285714272</v>
      </c>
      <c r="U60" s="30">
        <f>I60*10</f>
        <v>27.514285714285698</v>
      </c>
      <c r="V60" s="30">
        <f t="shared" si="79"/>
        <v>55.028571428571396</v>
      </c>
      <c r="W60" s="22"/>
      <c r="X60" s="23">
        <f t="shared" si="53"/>
        <v>38519.999999999985</v>
      </c>
      <c r="Y60" s="23"/>
      <c r="Z60" s="23">
        <f t="shared" si="54"/>
        <v>66034.285714285666</v>
      </c>
      <c r="AA60" s="23">
        <f t="shared" si="78"/>
        <v>82542.857142857087</v>
      </c>
      <c r="AB60" s="23">
        <f t="shared" si="78"/>
        <v>110057.1428571428</v>
      </c>
      <c r="AE60" s="36">
        <f t="shared" si="56"/>
        <v>3.3514285714285701</v>
      </c>
      <c r="AF60" s="37">
        <f t="shared" si="70"/>
        <v>3254.2371428571414</v>
      </c>
      <c r="AG60" s="28">
        <f t="shared" si="57"/>
        <v>16029.822857142846</v>
      </c>
      <c r="AH60" s="28">
        <f t="shared" si="71"/>
        <v>20037.278571428556</v>
      </c>
      <c r="AI60" s="28">
        <f t="shared" si="71"/>
        <v>26716.371428571412</v>
      </c>
      <c r="AJ60" s="28">
        <f t="shared" si="71"/>
        <v>53432.742857142825</v>
      </c>
      <c r="AK60" s="38"/>
      <c r="AL60" s="39">
        <v>3.3514285714285701</v>
      </c>
      <c r="AM60" s="40">
        <f t="shared" si="72"/>
        <v>207.78857142857134</v>
      </c>
      <c r="AN60" s="28">
        <f t="shared" si="58"/>
        <v>1023.5314285714279</v>
      </c>
      <c r="AO60" s="28">
        <f t="shared" si="73"/>
        <v>1279.4142857142849</v>
      </c>
      <c r="AP60" s="28">
        <f t="shared" si="73"/>
        <v>1705.8857142857132</v>
      </c>
      <c r="AQ60" s="28">
        <f t="shared" si="73"/>
        <v>3411.7714285714264</v>
      </c>
      <c r="AS60" s="28">
        <f t="shared" si="59"/>
        <v>127.11599999999993</v>
      </c>
      <c r="AT60" s="28">
        <f t="shared" si="74"/>
        <v>158.8949999999999</v>
      </c>
      <c r="AU60" s="28">
        <f t="shared" si="74"/>
        <v>211.85999999999987</v>
      </c>
      <c r="AV60" s="28">
        <f t="shared" si="74"/>
        <v>423.71999999999974</v>
      </c>
      <c r="AX60" s="31">
        <f t="shared" si="60"/>
        <v>8254.2857142857083</v>
      </c>
      <c r="AY60" s="31">
        <f t="shared" si="75"/>
        <v>10317.857142857136</v>
      </c>
      <c r="AZ60" s="31">
        <f t="shared" si="75"/>
        <v>13757.14285714285</v>
      </c>
      <c r="BA60" s="31">
        <f t="shared" si="75"/>
        <v>27514.285714285699</v>
      </c>
      <c r="BD60" s="55">
        <f t="shared" si="38"/>
        <v>71.193214285714248</v>
      </c>
      <c r="BE60" s="55">
        <f t="shared" si="39"/>
        <v>94.924285714285659</v>
      </c>
      <c r="BF60" s="55">
        <f t="shared" si="40"/>
        <v>189.84857142857132</v>
      </c>
      <c r="BI60" s="55">
        <f t="shared" si="41"/>
        <v>370.41107142857118</v>
      </c>
      <c r="BJ60" s="55">
        <f t="shared" si="42"/>
        <v>493.88142857142827</v>
      </c>
      <c r="BK60" s="55">
        <f t="shared" si="43"/>
        <v>987.76285714285655</v>
      </c>
      <c r="BN60" s="56">
        <f t="shared" si="44"/>
        <v>133120.99285714276</v>
      </c>
      <c r="BO60" s="56">
        <f t="shared" si="45"/>
        <v>177494.65714285703</v>
      </c>
      <c r="BP60" s="56">
        <f t="shared" si="46"/>
        <v>354989.31428571406</v>
      </c>
      <c r="BR60" s="54"/>
    </row>
    <row r="61" spans="1:70" x14ac:dyDescent="0.2">
      <c r="A61" s="14">
        <v>43109</v>
      </c>
      <c r="B61" s="51" t="s">
        <v>186</v>
      </c>
      <c r="C61" s="17" t="s">
        <v>8</v>
      </c>
      <c r="D61" s="17" t="s">
        <v>10</v>
      </c>
      <c r="E61" s="12">
        <v>1.27</v>
      </c>
      <c r="F61" s="25">
        <v>2.8571428571428599</v>
      </c>
      <c r="G61" s="17"/>
      <c r="H61" s="17">
        <v>20</v>
      </c>
      <c r="I61" s="30">
        <f t="shared" si="61"/>
        <v>3.53714285714286</v>
      </c>
      <c r="J61" s="22">
        <f t="shared" si="62"/>
        <v>4.0571428571428596</v>
      </c>
      <c r="K61" s="22">
        <f t="shared" si="63"/>
        <v>4.7271428571428604</v>
      </c>
      <c r="L61" s="22">
        <f t="shared" si="47"/>
        <v>7.0742857142857201</v>
      </c>
      <c r="M61" s="22">
        <f t="shared" si="48"/>
        <v>8.8428571428571505</v>
      </c>
      <c r="N61" s="22">
        <f t="shared" si="49"/>
        <v>10.611428571428579</v>
      </c>
      <c r="O61" s="22">
        <f t="shared" si="50"/>
        <v>12.38000000000001</v>
      </c>
      <c r="P61" s="30">
        <f t="shared" si="64"/>
        <v>21.222857142857166</v>
      </c>
      <c r="Q61" s="30">
        <f t="shared" si="65"/>
        <v>23.875714285714309</v>
      </c>
      <c r="R61" s="30">
        <f t="shared" si="66"/>
        <v>25.202142857142878</v>
      </c>
      <c r="S61" s="30">
        <f t="shared" si="67"/>
        <v>24.760000000000019</v>
      </c>
      <c r="T61" s="30">
        <f t="shared" si="68"/>
        <v>26.528571428571453</v>
      </c>
      <c r="U61" s="30">
        <f>I61*10</f>
        <v>35.371428571428602</v>
      </c>
      <c r="V61" s="30">
        <f t="shared" si="79"/>
        <v>70.742857142857204</v>
      </c>
      <c r="W61" s="22"/>
      <c r="X61" s="23">
        <f t="shared" si="53"/>
        <v>49520.000000000036</v>
      </c>
      <c r="Y61" s="23"/>
      <c r="Z61" s="23">
        <f t="shared" si="54"/>
        <v>84891.428571428667</v>
      </c>
      <c r="AA61" s="23">
        <f t="shared" si="78"/>
        <v>106114.28571428581</v>
      </c>
      <c r="AB61" s="23">
        <f t="shared" si="78"/>
        <v>141485.71428571441</v>
      </c>
      <c r="AE61" s="36">
        <f t="shared" si="56"/>
        <v>4.1371428571428597</v>
      </c>
      <c r="AF61" s="37">
        <f t="shared" si="70"/>
        <v>4017.1657142857166</v>
      </c>
      <c r="AG61" s="28">
        <f t="shared" si="57"/>
        <v>20607.394285714308</v>
      </c>
      <c r="AH61" s="28">
        <f t="shared" si="71"/>
        <v>25759.242857142883</v>
      </c>
      <c r="AI61" s="28">
        <f t="shared" si="71"/>
        <v>34345.65714285717</v>
      </c>
      <c r="AJ61" s="28">
        <f t="shared" si="71"/>
        <v>68691.314285714339</v>
      </c>
      <c r="AK61" s="38"/>
      <c r="AL61" s="39">
        <v>4.1371428571428597</v>
      </c>
      <c r="AM61" s="40">
        <f t="shared" si="72"/>
        <v>256.50285714285729</v>
      </c>
      <c r="AN61" s="28">
        <f t="shared" si="58"/>
        <v>1315.8171428571443</v>
      </c>
      <c r="AO61" s="28">
        <f t="shared" si="73"/>
        <v>1644.7714285714301</v>
      </c>
      <c r="AP61" s="28">
        <f t="shared" si="73"/>
        <v>2193.0285714285733</v>
      </c>
      <c r="AQ61" s="28">
        <f t="shared" si="73"/>
        <v>4386.0571428571466</v>
      </c>
      <c r="AS61" s="28">
        <f t="shared" si="59"/>
        <v>163.41600000000017</v>
      </c>
      <c r="AT61" s="28">
        <f t="shared" si="74"/>
        <v>204.27000000000021</v>
      </c>
      <c r="AU61" s="28">
        <f t="shared" si="74"/>
        <v>272.36000000000024</v>
      </c>
      <c r="AV61" s="28">
        <f t="shared" si="74"/>
        <v>544.72000000000048</v>
      </c>
      <c r="AX61" s="31">
        <f t="shared" si="60"/>
        <v>10611.428571428583</v>
      </c>
      <c r="AY61" s="31">
        <f t="shared" si="75"/>
        <v>13264.285714285726</v>
      </c>
      <c r="AZ61" s="31">
        <f t="shared" si="75"/>
        <v>17685.714285714301</v>
      </c>
      <c r="BA61" s="31">
        <f t="shared" si="75"/>
        <v>35371.428571428602</v>
      </c>
      <c r="BD61" s="55">
        <f t="shared" si="38"/>
        <v>91.523571428571515</v>
      </c>
      <c r="BE61" s="55">
        <f t="shared" si="39"/>
        <v>122.03142857142868</v>
      </c>
      <c r="BF61" s="55">
        <f t="shared" si="40"/>
        <v>244.06285714285735</v>
      </c>
      <c r="BI61" s="55">
        <f t="shared" si="41"/>
        <v>476.18785714285758</v>
      </c>
      <c r="BJ61" s="55">
        <f t="shared" si="42"/>
        <v>634.9171428571434</v>
      </c>
      <c r="BK61" s="55">
        <f t="shared" si="43"/>
        <v>1269.8342857142868</v>
      </c>
      <c r="BN61" s="56">
        <f t="shared" si="44"/>
        <v>171135.81428571444</v>
      </c>
      <c r="BO61" s="56">
        <f t="shared" si="45"/>
        <v>228181.0857142859</v>
      </c>
      <c r="BP61" s="56">
        <f t="shared" si="46"/>
        <v>456362.1714285718</v>
      </c>
      <c r="BR61" s="54"/>
    </row>
    <row r="62" spans="1:70" x14ac:dyDescent="0.2">
      <c r="A62" s="14">
        <v>43113</v>
      </c>
      <c r="B62" s="51" t="s">
        <v>187</v>
      </c>
      <c r="C62" s="17" t="s">
        <v>19</v>
      </c>
      <c r="D62" s="17" t="s">
        <v>12</v>
      </c>
      <c r="E62" s="12">
        <v>0.61</v>
      </c>
      <c r="F62" s="25">
        <v>1.1428571428571399</v>
      </c>
      <c r="G62" s="17"/>
      <c r="H62" s="17">
        <v>10</v>
      </c>
      <c r="I62" s="30">
        <f t="shared" si="61"/>
        <v>1.8228571428571398</v>
      </c>
      <c r="J62" s="22">
        <f t="shared" si="62"/>
        <v>2.3428571428571399</v>
      </c>
      <c r="K62" s="22">
        <f t="shared" si="63"/>
        <v>3.0128571428571398</v>
      </c>
      <c r="L62" s="22">
        <f t="shared" si="47"/>
        <v>3.6457142857142797</v>
      </c>
      <c r="M62" s="22">
        <f t="shared" si="48"/>
        <v>4.5571428571428498</v>
      </c>
      <c r="N62" s="22">
        <f t="shared" si="49"/>
        <v>5.4685714285714191</v>
      </c>
      <c r="O62" s="22">
        <f t="shared" si="50"/>
        <v>6.3799999999999892</v>
      </c>
      <c r="P62" s="30">
        <f t="shared" si="64"/>
        <v>10.93714285714284</v>
      </c>
      <c r="Q62" s="30">
        <f t="shared" si="65"/>
        <v>12.304285714285696</v>
      </c>
      <c r="R62" s="30">
        <f t="shared" si="66"/>
        <v>12.987857142857122</v>
      </c>
      <c r="S62" s="30">
        <f t="shared" si="67"/>
        <v>12.759999999999978</v>
      </c>
      <c r="T62" s="30">
        <f t="shared" si="68"/>
        <v>13.67142857142855</v>
      </c>
      <c r="U62" s="30">
        <f>I62*10</f>
        <v>18.228571428571399</v>
      </c>
      <c r="V62" s="30">
        <f t="shared" si="79"/>
        <v>36.457142857142799</v>
      </c>
      <c r="W62" s="22"/>
      <c r="X62" s="23">
        <f t="shared" si="53"/>
        <v>25519.999999999956</v>
      </c>
      <c r="Y62" s="23"/>
      <c r="Z62" s="23">
        <f t="shared" si="54"/>
        <v>43748.571428571362</v>
      </c>
      <c r="AA62" s="23">
        <f t="shared" si="78"/>
        <v>54685.714285714195</v>
      </c>
      <c r="AB62" s="23">
        <f t="shared" si="78"/>
        <v>72914.285714285594</v>
      </c>
      <c r="AE62" s="36">
        <f t="shared" si="56"/>
        <v>2.4228571428571399</v>
      </c>
      <c r="AF62" s="37">
        <f t="shared" si="70"/>
        <v>2352.5942857142827</v>
      </c>
      <c r="AG62" s="28">
        <f t="shared" si="57"/>
        <v>10619.965714285698</v>
      </c>
      <c r="AH62" s="28">
        <f t="shared" si="71"/>
        <v>13274.957142857122</v>
      </c>
      <c r="AI62" s="28">
        <f t="shared" si="71"/>
        <v>17699.942857142829</v>
      </c>
      <c r="AJ62" s="28">
        <f t="shared" si="71"/>
        <v>35399.885714285658</v>
      </c>
      <c r="AK62" s="38"/>
      <c r="AL62" s="39">
        <v>2.4228571428571399</v>
      </c>
      <c r="AM62" s="40">
        <f t="shared" si="72"/>
        <v>150.21714285714268</v>
      </c>
      <c r="AN62" s="28">
        <f t="shared" si="58"/>
        <v>678.10285714285612</v>
      </c>
      <c r="AO62" s="28">
        <f t="shared" si="73"/>
        <v>847.62857142857001</v>
      </c>
      <c r="AP62" s="28">
        <f t="shared" si="73"/>
        <v>1130.1714285714268</v>
      </c>
      <c r="AQ62" s="28">
        <f t="shared" si="73"/>
        <v>2260.3428571428535</v>
      </c>
      <c r="AS62" s="28">
        <f t="shared" si="59"/>
        <v>84.215999999999866</v>
      </c>
      <c r="AT62" s="28">
        <f t="shared" si="74"/>
        <v>105.26999999999984</v>
      </c>
      <c r="AU62" s="28">
        <f t="shared" si="74"/>
        <v>140.35999999999979</v>
      </c>
      <c r="AV62" s="28">
        <f t="shared" si="74"/>
        <v>280.71999999999957</v>
      </c>
      <c r="AX62" s="31">
        <f t="shared" si="60"/>
        <v>5468.5714285714203</v>
      </c>
      <c r="AY62" s="31">
        <f t="shared" si="75"/>
        <v>6835.7142857142744</v>
      </c>
      <c r="AZ62" s="31">
        <f t="shared" si="75"/>
        <v>9114.2857142856992</v>
      </c>
      <c r="BA62" s="31">
        <f t="shared" si="75"/>
        <v>18228.571428571398</v>
      </c>
      <c r="BD62" s="55">
        <f t="shared" si="38"/>
        <v>47.166428571428497</v>
      </c>
      <c r="BE62" s="55">
        <f t="shared" si="39"/>
        <v>62.888571428571332</v>
      </c>
      <c r="BF62" s="55">
        <f t="shared" si="40"/>
        <v>125.77714285714266</v>
      </c>
      <c r="BI62" s="55">
        <f t="shared" si="41"/>
        <v>245.40214285714245</v>
      </c>
      <c r="BJ62" s="55">
        <f t="shared" si="42"/>
        <v>327.2028571428566</v>
      </c>
      <c r="BK62" s="55">
        <f t="shared" si="43"/>
        <v>654.4057142857132</v>
      </c>
      <c r="BN62" s="56">
        <f t="shared" si="44"/>
        <v>88194.38571428557</v>
      </c>
      <c r="BO62" s="56">
        <f t="shared" si="45"/>
        <v>117592.5142857141</v>
      </c>
      <c r="BP62" s="56">
        <f t="shared" si="46"/>
        <v>235185.02857142821</v>
      </c>
      <c r="BR62" s="54"/>
    </row>
    <row r="63" spans="1:70" x14ac:dyDescent="0.2">
      <c r="A63" s="14">
        <v>43115</v>
      </c>
      <c r="B63" s="51" t="s">
        <v>188</v>
      </c>
      <c r="C63" s="17" t="s">
        <v>11</v>
      </c>
      <c r="D63" s="17" t="s">
        <v>12</v>
      </c>
      <c r="E63" s="12">
        <v>2.1</v>
      </c>
      <c r="F63" s="25">
        <v>1.47142857142857</v>
      </c>
      <c r="G63" s="17"/>
      <c r="H63" s="17">
        <v>10</v>
      </c>
      <c r="I63" s="30">
        <f t="shared" si="61"/>
        <v>2.1514285714285699</v>
      </c>
      <c r="J63" s="22">
        <f t="shared" si="62"/>
        <v>2.6714285714285699</v>
      </c>
      <c r="K63" s="22">
        <f t="shared" si="63"/>
        <v>3.3414285714285699</v>
      </c>
      <c r="L63" s="22">
        <f t="shared" si="47"/>
        <v>4.3028571428571398</v>
      </c>
      <c r="M63" s="22">
        <f t="shared" si="48"/>
        <v>5.3785714285714246</v>
      </c>
      <c r="N63" s="22">
        <f t="shared" si="49"/>
        <v>6.4542857142857102</v>
      </c>
      <c r="O63" s="22">
        <f t="shared" si="50"/>
        <v>7.5299999999999949</v>
      </c>
      <c r="P63" s="30">
        <f t="shared" si="64"/>
        <v>12.908571428571419</v>
      </c>
      <c r="Q63" s="30">
        <f t="shared" si="65"/>
        <v>14.522142857142844</v>
      </c>
      <c r="R63" s="30">
        <f t="shared" si="66"/>
        <v>15.328928571428557</v>
      </c>
      <c r="S63" s="30">
        <f t="shared" si="67"/>
        <v>15.059999999999988</v>
      </c>
      <c r="T63" s="30">
        <f t="shared" si="68"/>
        <v>16.135714285714272</v>
      </c>
      <c r="U63" s="30">
        <f>I63*10</f>
        <v>21.514285714285698</v>
      </c>
      <c r="V63" s="30">
        <f t="shared" si="79"/>
        <v>43.028571428571396</v>
      </c>
      <c r="W63" s="22"/>
      <c r="X63" s="23">
        <f t="shared" si="53"/>
        <v>30119.999999999978</v>
      </c>
      <c r="Y63" s="23"/>
      <c r="Z63" s="23">
        <f t="shared" si="54"/>
        <v>51634.285714285674</v>
      </c>
      <c r="AA63" s="23">
        <f t="shared" si="78"/>
        <v>64542.857142857087</v>
      </c>
      <c r="AB63" s="23">
        <f t="shared" si="78"/>
        <v>86057.142857142797</v>
      </c>
      <c r="AE63" s="36">
        <f t="shared" si="56"/>
        <v>2.75142857142857</v>
      </c>
      <c r="AF63" s="37">
        <f t="shared" si="70"/>
        <v>2671.6371428571415</v>
      </c>
      <c r="AG63" s="28">
        <f t="shared" si="57"/>
        <v>12534.222857142848</v>
      </c>
      <c r="AH63" s="28">
        <f t="shared" si="71"/>
        <v>15667.778571428558</v>
      </c>
      <c r="AI63" s="28">
        <f t="shared" si="71"/>
        <v>20890.371428571412</v>
      </c>
      <c r="AJ63" s="28">
        <f t="shared" si="71"/>
        <v>41780.742857142825</v>
      </c>
      <c r="AK63" s="38"/>
      <c r="AL63" s="39">
        <v>2.75142857142857</v>
      </c>
      <c r="AM63" s="40">
        <f t="shared" si="72"/>
        <v>170.58857142857133</v>
      </c>
      <c r="AN63" s="28">
        <f t="shared" si="58"/>
        <v>800.33142857142798</v>
      </c>
      <c r="AO63" s="28">
        <f t="shared" si="73"/>
        <v>1000.4142857142849</v>
      </c>
      <c r="AP63" s="28">
        <f t="shared" si="73"/>
        <v>1333.8857142857132</v>
      </c>
      <c r="AQ63" s="28">
        <f t="shared" si="73"/>
        <v>2667.7714285714264</v>
      </c>
      <c r="AS63" s="28">
        <f t="shared" si="59"/>
        <v>99.39599999999993</v>
      </c>
      <c r="AT63" s="28">
        <f t="shared" si="74"/>
        <v>124.24499999999989</v>
      </c>
      <c r="AU63" s="28">
        <f t="shared" si="74"/>
        <v>165.65999999999988</v>
      </c>
      <c r="AV63" s="28">
        <f t="shared" si="74"/>
        <v>331.31999999999977</v>
      </c>
      <c r="AX63" s="31">
        <f t="shared" si="60"/>
        <v>6454.2857142857092</v>
      </c>
      <c r="AY63" s="31">
        <f t="shared" si="75"/>
        <v>8067.8571428571358</v>
      </c>
      <c r="AZ63" s="31">
        <f t="shared" si="75"/>
        <v>10757.14285714285</v>
      </c>
      <c r="BA63" s="31">
        <f t="shared" si="75"/>
        <v>21514.285714285699</v>
      </c>
      <c r="BD63" s="55">
        <f t="shared" si="38"/>
        <v>55.668214285714242</v>
      </c>
      <c r="BE63" s="55">
        <f t="shared" si="39"/>
        <v>74.224285714285656</v>
      </c>
      <c r="BF63" s="55">
        <f t="shared" si="40"/>
        <v>148.44857142857131</v>
      </c>
      <c r="BI63" s="55">
        <f t="shared" si="41"/>
        <v>289.63607142857114</v>
      </c>
      <c r="BJ63" s="55">
        <f t="shared" si="42"/>
        <v>386.18142857142828</v>
      </c>
      <c r="BK63" s="55">
        <f t="shared" si="43"/>
        <v>772.36285714285657</v>
      </c>
      <c r="BN63" s="56">
        <f t="shared" si="44"/>
        <v>104091.49285714277</v>
      </c>
      <c r="BO63" s="56">
        <f t="shared" si="45"/>
        <v>138788.65714285703</v>
      </c>
      <c r="BP63" s="56">
        <f t="shared" si="46"/>
        <v>277577.31428571406</v>
      </c>
      <c r="BR63" s="54"/>
    </row>
    <row r="64" spans="1:70" x14ac:dyDescent="0.2">
      <c r="A64" s="14">
        <v>43187</v>
      </c>
      <c r="B64" s="51" t="s">
        <v>189</v>
      </c>
      <c r="C64" s="17" t="s">
        <v>21</v>
      </c>
      <c r="D64" s="17" t="s">
        <v>12</v>
      </c>
      <c r="E64" s="18">
        <v>1.5</v>
      </c>
      <c r="F64" s="25">
        <v>2.21428571428571</v>
      </c>
      <c r="G64" s="13" t="s">
        <v>7</v>
      </c>
      <c r="H64" s="11">
        <v>20</v>
      </c>
      <c r="I64" s="30">
        <f t="shared" si="61"/>
        <v>2.8942857142857101</v>
      </c>
      <c r="J64" s="22">
        <f t="shared" si="62"/>
        <v>3.4142857142857101</v>
      </c>
      <c r="K64" s="22">
        <f t="shared" si="63"/>
        <v>4.0842857142857101</v>
      </c>
      <c r="L64" s="22">
        <f t="shared" si="47"/>
        <v>5.7885714285714203</v>
      </c>
      <c r="M64" s="22">
        <f t="shared" si="48"/>
        <v>7.2357142857142751</v>
      </c>
      <c r="N64" s="22">
        <f t="shared" si="49"/>
        <v>8.6828571428571308</v>
      </c>
      <c r="O64" s="22">
        <f t="shared" si="50"/>
        <v>10.129999999999985</v>
      </c>
      <c r="P64" s="30">
        <f t="shared" si="64"/>
        <v>12.155999999999983</v>
      </c>
      <c r="Q64" s="30">
        <f t="shared" si="65"/>
        <v>13.67549999999998</v>
      </c>
      <c r="R64" s="30">
        <f t="shared" si="66"/>
        <v>14.435249999999977</v>
      </c>
      <c r="S64" s="30">
        <f t="shared" si="67"/>
        <v>14.181999999999977</v>
      </c>
      <c r="T64" s="30">
        <f t="shared" si="68"/>
        <v>15.194999999999977</v>
      </c>
      <c r="U64" s="30">
        <f t="shared" ref="U64:U69" si="80">I64*7</f>
        <v>20.25999999999997</v>
      </c>
      <c r="V64" s="30">
        <f t="shared" si="79"/>
        <v>57.885714285714201</v>
      </c>
      <c r="W64" s="22"/>
      <c r="X64" s="23">
        <f t="shared" si="53"/>
        <v>40519.999999999942</v>
      </c>
      <c r="Y64" s="23"/>
      <c r="Z64" s="23">
        <f t="shared" si="54"/>
        <v>48623.999999999935</v>
      </c>
      <c r="AA64" s="23">
        <f t="shared" si="78"/>
        <v>60779.999999999905</v>
      </c>
      <c r="AB64" s="23">
        <f t="shared" si="78"/>
        <v>81039.999999999884</v>
      </c>
      <c r="AC64" s="1" t="s">
        <v>44</v>
      </c>
      <c r="AE64" s="36">
        <f t="shared" si="56"/>
        <v>3.4942857142857102</v>
      </c>
      <c r="AF64" s="37">
        <f t="shared" si="70"/>
        <v>3392.9514285714245</v>
      </c>
      <c r="AG64" s="28">
        <f t="shared" si="57"/>
        <v>11803.475999999984</v>
      </c>
      <c r="AH64" s="28">
        <f t="shared" si="71"/>
        <v>14754.344999999978</v>
      </c>
      <c r="AI64" s="28">
        <f t="shared" si="71"/>
        <v>19672.45999999997</v>
      </c>
      <c r="AJ64" s="28">
        <f t="shared" si="71"/>
        <v>56207.028571428491</v>
      </c>
      <c r="AK64" s="38"/>
      <c r="AL64" s="39">
        <v>3.4942857142857102</v>
      </c>
      <c r="AM64" s="40">
        <f t="shared" si="72"/>
        <v>216.64571428571404</v>
      </c>
      <c r="AN64" s="28">
        <f t="shared" si="58"/>
        <v>753.67199999999889</v>
      </c>
      <c r="AO64" s="28">
        <f t="shared" si="73"/>
        <v>942.08999999999855</v>
      </c>
      <c r="AP64" s="28">
        <f t="shared" si="73"/>
        <v>1256.1199999999981</v>
      </c>
      <c r="AQ64" s="28">
        <f t="shared" si="73"/>
        <v>3588.9142857142806</v>
      </c>
      <c r="AS64" s="28">
        <f t="shared" si="59"/>
        <v>93.601199999999864</v>
      </c>
      <c r="AT64" s="28">
        <f t="shared" si="74"/>
        <v>117.00149999999982</v>
      </c>
      <c r="AU64" s="28">
        <f t="shared" si="74"/>
        <v>156.00199999999978</v>
      </c>
      <c r="AV64" s="28">
        <f t="shared" si="74"/>
        <v>445.71999999999935</v>
      </c>
      <c r="AX64" s="31">
        <f t="shared" si="60"/>
        <v>6077.9999999999918</v>
      </c>
      <c r="AY64" s="31">
        <f t="shared" si="75"/>
        <v>7597.4999999999882</v>
      </c>
      <c r="AZ64" s="31">
        <f t="shared" si="75"/>
        <v>10129.999999999985</v>
      </c>
      <c r="BA64" s="31">
        <f t="shared" si="75"/>
        <v>28942.857142857101</v>
      </c>
      <c r="BD64" s="55">
        <f t="shared" si="38"/>
        <v>52.422749999999922</v>
      </c>
      <c r="BE64" s="55">
        <f t="shared" si="39"/>
        <v>69.896999999999892</v>
      </c>
      <c r="BF64" s="55">
        <f t="shared" si="40"/>
        <v>199.70571428571401</v>
      </c>
      <c r="BI64" s="55">
        <f t="shared" si="41"/>
        <v>272.7502499999996</v>
      </c>
      <c r="BJ64" s="55">
        <f t="shared" si="42"/>
        <v>363.66699999999946</v>
      </c>
      <c r="BK64" s="55">
        <f t="shared" si="43"/>
        <v>1039.0485714285699</v>
      </c>
      <c r="BN64" s="56">
        <f t="shared" si="44"/>
        <v>98022.944999999847</v>
      </c>
      <c r="BO64" s="56">
        <f t="shared" si="45"/>
        <v>130697.25999999981</v>
      </c>
      <c r="BP64" s="56">
        <f t="shared" si="46"/>
        <v>373420.74285714229</v>
      </c>
      <c r="BR64" s="54"/>
    </row>
    <row r="65" spans="1:70" x14ac:dyDescent="0.2">
      <c r="A65" s="6">
        <v>43189</v>
      </c>
      <c r="B65" s="53" t="s">
        <v>190</v>
      </c>
      <c r="C65" s="17" t="s">
        <v>36</v>
      </c>
      <c r="D65" s="17" t="s">
        <v>12</v>
      </c>
      <c r="E65" s="26">
        <v>1.5</v>
      </c>
      <c r="F65" s="25">
        <v>1.5</v>
      </c>
      <c r="G65" s="13"/>
      <c r="H65" s="11">
        <v>10</v>
      </c>
      <c r="I65" s="17">
        <f t="shared" si="61"/>
        <v>2.1800000000000002</v>
      </c>
      <c r="J65" s="22">
        <f t="shared" si="62"/>
        <v>2.7</v>
      </c>
      <c r="K65" s="22">
        <f t="shared" si="63"/>
        <v>3.37</v>
      </c>
      <c r="L65" s="22">
        <f t="shared" si="47"/>
        <v>4.3600000000000003</v>
      </c>
      <c r="M65" s="22">
        <f t="shared" si="48"/>
        <v>5.45</v>
      </c>
      <c r="N65" s="22">
        <f t="shared" si="49"/>
        <v>6.5400000000000009</v>
      </c>
      <c r="O65" s="22">
        <f t="shared" si="50"/>
        <v>7.6300000000000008</v>
      </c>
      <c r="P65" s="30">
        <f t="shared" si="64"/>
        <v>9.1560000000000006</v>
      </c>
      <c r="Q65" s="30">
        <f t="shared" si="65"/>
        <v>10.300500000000001</v>
      </c>
      <c r="R65" s="30">
        <f t="shared" si="66"/>
        <v>10.87275</v>
      </c>
      <c r="S65" s="30">
        <f t="shared" si="67"/>
        <v>10.682</v>
      </c>
      <c r="T65" s="30">
        <f t="shared" si="68"/>
        <v>11.445</v>
      </c>
      <c r="U65" s="30">
        <f t="shared" si="80"/>
        <v>15.260000000000002</v>
      </c>
      <c r="V65" s="30">
        <f t="shared" si="79"/>
        <v>43.6</v>
      </c>
      <c r="W65" s="22"/>
      <c r="X65" s="23">
        <f t="shared" si="53"/>
        <v>30520.000000000004</v>
      </c>
      <c r="Y65" s="23"/>
      <c r="Z65" s="23">
        <f t="shared" si="54"/>
        <v>36624</v>
      </c>
      <c r="AA65" s="23">
        <f t="shared" si="78"/>
        <v>45780</v>
      </c>
      <c r="AB65" s="23">
        <f t="shared" si="78"/>
        <v>61040.000000000007</v>
      </c>
      <c r="AC65" s="1" t="s">
        <v>44</v>
      </c>
      <c r="AE65" s="36">
        <f t="shared" si="56"/>
        <v>2.7800000000000002</v>
      </c>
      <c r="AF65" s="37">
        <f t="shared" si="70"/>
        <v>2699.38</v>
      </c>
      <c r="AG65" s="28">
        <f t="shared" si="57"/>
        <v>8890.4760000000006</v>
      </c>
      <c r="AH65" s="28">
        <f t="shared" si="71"/>
        <v>11113.095000000001</v>
      </c>
      <c r="AI65" s="28">
        <f t="shared" si="71"/>
        <v>14817.460000000001</v>
      </c>
      <c r="AJ65" s="28">
        <f t="shared" si="71"/>
        <v>42335.6</v>
      </c>
      <c r="AK65" s="38"/>
      <c r="AL65" s="39">
        <v>2.7800000000000002</v>
      </c>
      <c r="AM65" s="40">
        <f t="shared" si="72"/>
        <v>172.36</v>
      </c>
      <c r="AN65" s="28">
        <f t="shared" si="58"/>
        <v>567.67200000000003</v>
      </c>
      <c r="AO65" s="28">
        <f t="shared" si="73"/>
        <v>709.59</v>
      </c>
      <c r="AP65" s="28">
        <f t="shared" si="73"/>
        <v>946.12000000000012</v>
      </c>
      <c r="AQ65" s="28">
        <f t="shared" si="73"/>
        <v>2703.2000000000003</v>
      </c>
      <c r="AS65" s="28">
        <f t="shared" si="59"/>
        <v>70.501200000000011</v>
      </c>
      <c r="AT65" s="28">
        <f t="shared" si="74"/>
        <v>88.126500000000007</v>
      </c>
      <c r="AU65" s="28">
        <f t="shared" si="74"/>
        <v>117.50200000000001</v>
      </c>
      <c r="AV65" s="28">
        <f t="shared" si="74"/>
        <v>335.72</v>
      </c>
      <c r="AX65" s="31">
        <f t="shared" si="60"/>
        <v>4578</v>
      </c>
      <c r="AY65" s="31">
        <f t="shared" si="75"/>
        <v>5722.5</v>
      </c>
      <c r="AZ65" s="31">
        <f t="shared" si="75"/>
        <v>7630.0000000000009</v>
      </c>
      <c r="BA65" s="31">
        <f t="shared" si="75"/>
        <v>21800</v>
      </c>
      <c r="BD65" s="55">
        <f t="shared" si="38"/>
        <v>39.485250000000001</v>
      </c>
      <c r="BE65" s="55">
        <f t="shared" si="39"/>
        <v>52.647000000000006</v>
      </c>
      <c r="BF65" s="55">
        <f t="shared" si="40"/>
        <v>150.42000000000002</v>
      </c>
      <c r="BI65" s="55">
        <f t="shared" si="41"/>
        <v>205.43774999999999</v>
      </c>
      <c r="BJ65" s="55">
        <f t="shared" si="42"/>
        <v>273.91700000000003</v>
      </c>
      <c r="BK65" s="55">
        <f t="shared" si="43"/>
        <v>782.62</v>
      </c>
      <c r="BN65" s="56">
        <f t="shared" si="44"/>
        <v>73831.695000000007</v>
      </c>
      <c r="BO65" s="56">
        <f t="shared" si="45"/>
        <v>98442.260000000009</v>
      </c>
      <c r="BP65" s="56">
        <f t="shared" si="46"/>
        <v>281263.60000000003</v>
      </c>
      <c r="BR65" s="54"/>
    </row>
    <row r="66" spans="1:70" x14ac:dyDescent="0.2">
      <c r="A66" s="14">
        <v>43192</v>
      </c>
      <c r="B66" s="53" t="s">
        <v>191</v>
      </c>
      <c r="C66" s="17" t="s">
        <v>11</v>
      </c>
      <c r="D66" s="17" t="s">
        <v>10</v>
      </c>
      <c r="E66" s="18">
        <v>1.9285714285714299</v>
      </c>
      <c r="F66" s="25">
        <v>3.24</v>
      </c>
      <c r="G66" s="13" t="s">
        <v>7</v>
      </c>
      <c r="H66" s="11">
        <v>20</v>
      </c>
      <c r="I66" s="17">
        <f t="shared" si="61"/>
        <v>3.9200000000000004</v>
      </c>
      <c r="J66" s="22">
        <f t="shared" si="62"/>
        <v>4.4400000000000004</v>
      </c>
      <c r="K66" s="22">
        <f t="shared" si="63"/>
        <v>5.1100000000000003</v>
      </c>
      <c r="L66" s="22">
        <f t="shared" si="47"/>
        <v>7.8400000000000007</v>
      </c>
      <c r="M66" s="22">
        <f t="shared" si="48"/>
        <v>9.8000000000000007</v>
      </c>
      <c r="N66" s="22">
        <f t="shared" si="49"/>
        <v>11.760000000000002</v>
      </c>
      <c r="O66" s="22">
        <f t="shared" si="50"/>
        <v>13.72</v>
      </c>
      <c r="P66" s="30">
        <f t="shared" si="64"/>
        <v>16.464000000000002</v>
      </c>
      <c r="Q66" s="30">
        <f t="shared" si="65"/>
        <v>18.522000000000002</v>
      </c>
      <c r="R66" s="30">
        <f t="shared" si="66"/>
        <v>19.551000000000002</v>
      </c>
      <c r="S66" s="30">
        <f t="shared" si="67"/>
        <v>19.207999999999998</v>
      </c>
      <c r="T66" s="30">
        <f t="shared" si="68"/>
        <v>20.580000000000002</v>
      </c>
      <c r="U66" s="30">
        <f t="shared" si="80"/>
        <v>27.44</v>
      </c>
      <c r="V66" s="30">
        <f t="shared" si="79"/>
        <v>78.400000000000006</v>
      </c>
      <c r="W66" s="22"/>
      <c r="X66" s="23">
        <f t="shared" si="53"/>
        <v>54880</v>
      </c>
      <c r="Y66" s="23"/>
      <c r="Z66" s="23">
        <f t="shared" si="54"/>
        <v>65856.000000000015</v>
      </c>
      <c r="AA66" s="23">
        <f t="shared" si="78"/>
        <v>82320.000000000015</v>
      </c>
      <c r="AB66" s="23">
        <f t="shared" si="78"/>
        <v>109760</v>
      </c>
      <c r="AC66" s="1" t="s">
        <v>44</v>
      </c>
      <c r="AE66" s="36">
        <f t="shared" si="56"/>
        <v>4.5200000000000005</v>
      </c>
      <c r="AF66" s="37">
        <f t="shared" si="70"/>
        <v>4388.92</v>
      </c>
      <c r="AG66" s="28">
        <f t="shared" si="57"/>
        <v>15986.544000000002</v>
      </c>
      <c r="AH66" s="28">
        <f t="shared" si="71"/>
        <v>19983.18</v>
      </c>
      <c r="AI66" s="28">
        <f t="shared" si="71"/>
        <v>26644.240000000002</v>
      </c>
      <c r="AJ66" s="28">
        <f t="shared" si="71"/>
        <v>76126.400000000009</v>
      </c>
      <c r="AK66" s="38"/>
      <c r="AL66" s="39">
        <v>4.5200000000000005</v>
      </c>
      <c r="AM66" s="40">
        <f t="shared" si="72"/>
        <v>280.24</v>
      </c>
      <c r="AN66" s="28">
        <f t="shared" si="58"/>
        <v>1020.7680000000001</v>
      </c>
      <c r="AO66" s="28">
        <f t="shared" si="73"/>
        <v>1275.96</v>
      </c>
      <c r="AP66" s="28">
        <f t="shared" si="73"/>
        <v>1701.28</v>
      </c>
      <c r="AQ66" s="28">
        <f t="shared" si="73"/>
        <v>4860.8</v>
      </c>
      <c r="AS66" s="28">
        <f t="shared" si="59"/>
        <v>126.77280000000002</v>
      </c>
      <c r="AT66" s="28">
        <f t="shared" si="74"/>
        <v>158.46600000000001</v>
      </c>
      <c r="AU66" s="28">
        <f t="shared" si="74"/>
        <v>211.28800000000001</v>
      </c>
      <c r="AV66" s="28">
        <f t="shared" si="74"/>
        <v>603.68000000000006</v>
      </c>
      <c r="AX66" s="31">
        <f t="shared" si="60"/>
        <v>8232.0000000000018</v>
      </c>
      <c r="AY66" s="31">
        <f t="shared" si="75"/>
        <v>10290.000000000002</v>
      </c>
      <c r="AZ66" s="31">
        <f t="shared" si="75"/>
        <v>13720</v>
      </c>
      <c r="BA66" s="31">
        <f t="shared" si="75"/>
        <v>39200</v>
      </c>
      <c r="BD66" s="55">
        <f t="shared" si="38"/>
        <v>71.001000000000005</v>
      </c>
      <c r="BE66" s="55">
        <f t="shared" si="39"/>
        <v>94.668000000000006</v>
      </c>
      <c r="BF66" s="55">
        <f t="shared" si="40"/>
        <v>270.48</v>
      </c>
      <c r="BI66" s="55">
        <f t="shared" si="41"/>
        <v>369.411</v>
      </c>
      <c r="BJ66" s="55">
        <f t="shared" si="42"/>
        <v>492.548</v>
      </c>
      <c r="BK66" s="55">
        <f t="shared" si="43"/>
        <v>1407.28</v>
      </c>
      <c r="BN66" s="56">
        <f t="shared" si="44"/>
        <v>132761.58000000002</v>
      </c>
      <c r="BO66" s="56">
        <f t="shared" si="45"/>
        <v>177015.44</v>
      </c>
      <c r="BP66" s="56">
        <f t="shared" si="46"/>
        <v>505758.4</v>
      </c>
      <c r="BR66" s="54"/>
    </row>
    <row r="67" spans="1:70" x14ac:dyDescent="0.2">
      <c r="A67" s="14">
        <v>43195</v>
      </c>
      <c r="B67" s="51" t="s">
        <v>192</v>
      </c>
      <c r="C67" s="17" t="s">
        <v>4</v>
      </c>
      <c r="D67" s="17" t="s">
        <v>10</v>
      </c>
      <c r="E67" s="18">
        <v>1.9285714285714299</v>
      </c>
      <c r="F67" s="25">
        <v>3.66</v>
      </c>
      <c r="G67" s="13" t="s">
        <v>7</v>
      </c>
      <c r="H67" s="17">
        <v>40</v>
      </c>
      <c r="I67" s="30">
        <f t="shared" si="61"/>
        <v>4.34</v>
      </c>
      <c r="J67" s="22">
        <f t="shared" si="62"/>
        <v>4.8600000000000003</v>
      </c>
      <c r="K67" s="22">
        <f t="shared" si="63"/>
        <v>5.53</v>
      </c>
      <c r="L67" s="22">
        <f t="shared" si="47"/>
        <v>8.68</v>
      </c>
      <c r="M67" s="22">
        <f t="shared" si="48"/>
        <v>10.85</v>
      </c>
      <c r="N67" s="22">
        <f t="shared" si="49"/>
        <v>13.02</v>
      </c>
      <c r="O67" s="22">
        <f t="shared" si="50"/>
        <v>15.19</v>
      </c>
      <c r="P67" s="30">
        <f t="shared" si="64"/>
        <v>18.228000000000002</v>
      </c>
      <c r="Q67" s="30">
        <f t="shared" si="65"/>
        <v>20.506499999999999</v>
      </c>
      <c r="R67" s="30">
        <f t="shared" si="66"/>
        <v>21.64575</v>
      </c>
      <c r="S67" s="30">
        <f t="shared" si="67"/>
        <v>21.265999999999998</v>
      </c>
      <c r="T67" s="30">
        <f t="shared" si="68"/>
        <v>22.785</v>
      </c>
      <c r="U67" s="30">
        <f t="shared" si="80"/>
        <v>30.38</v>
      </c>
      <c r="V67" s="30">
        <f t="shared" si="79"/>
        <v>86.8</v>
      </c>
      <c r="W67" s="22"/>
      <c r="X67" s="23">
        <f t="shared" si="53"/>
        <v>60760</v>
      </c>
      <c r="Y67" s="23"/>
      <c r="Z67" s="23">
        <f t="shared" si="54"/>
        <v>72912</v>
      </c>
      <c r="AA67" s="23">
        <f t="shared" si="78"/>
        <v>91140</v>
      </c>
      <c r="AB67" s="23">
        <f t="shared" si="78"/>
        <v>121520</v>
      </c>
      <c r="AC67" s="1" t="s">
        <v>44</v>
      </c>
      <c r="AE67" s="36">
        <f t="shared" si="56"/>
        <v>4.9399999999999995</v>
      </c>
      <c r="AF67" s="37">
        <f t="shared" si="70"/>
        <v>4796.74</v>
      </c>
      <c r="AG67" s="28">
        <f t="shared" si="57"/>
        <v>17699.388000000003</v>
      </c>
      <c r="AH67" s="28">
        <f t="shared" si="71"/>
        <v>22124.235000000001</v>
      </c>
      <c r="AI67" s="28">
        <f t="shared" si="71"/>
        <v>29498.98</v>
      </c>
      <c r="AJ67" s="28">
        <f t="shared" si="71"/>
        <v>84282.8</v>
      </c>
      <c r="AK67" s="38"/>
      <c r="AL67" s="39">
        <v>4.9399999999999995</v>
      </c>
      <c r="AM67" s="40">
        <f t="shared" si="72"/>
        <v>306.27999999999997</v>
      </c>
      <c r="AN67" s="28">
        <f t="shared" si="58"/>
        <v>1130.1360000000002</v>
      </c>
      <c r="AO67" s="28">
        <f t="shared" si="73"/>
        <v>1412.67</v>
      </c>
      <c r="AP67" s="28">
        <f t="shared" si="73"/>
        <v>1883.56</v>
      </c>
      <c r="AQ67" s="28">
        <f t="shared" si="73"/>
        <v>5381.5999999999995</v>
      </c>
      <c r="AS67" s="28">
        <f t="shared" si="59"/>
        <v>140.35560000000001</v>
      </c>
      <c r="AT67" s="28">
        <f t="shared" si="74"/>
        <v>175.44450000000001</v>
      </c>
      <c r="AU67" s="28">
        <f t="shared" si="74"/>
        <v>233.92599999999999</v>
      </c>
      <c r="AV67" s="28">
        <f t="shared" si="74"/>
        <v>668.36</v>
      </c>
      <c r="AX67" s="31">
        <f t="shared" si="60"/>
        <v>9114</v>
      </c>
      <c r="AY67" s="31">
        <f t="shared" si="75"/>
        <v>11392.5</v>
      </c>
      <c r="AZ67" s="31">
        <f t="shared" si="75"/>
        <v>15190</v>
      </c>
      <c r="BA67" s="31">
        <f t="shared" si="75"/>
        <v>43400</v>
      </c>
      <c r="BD67" s="55">
        <f t="shared" si="38"/>
        <v>78.608249999999998</v>
      </c>
      <c r="BE67" s="55">
        <f t="shared" si="39"/>
        <v>104.81100000000001</v>
      </c>
      <c r="BF67" s="55">
        <f t="shared" si="40"/>
        <v>299.45999999999998</v>
      </c>
      <c r="BI67" s="55">
        <f t="shared" si="41"/>
        <v>408.99074999999999</v>
      </c>
      <c r="BJ67" s="55">
        <f t="shared" si="42"/>
        <v>545.32099999999991</v>
      </c>
      <c r="BK67" s="55">
        <f t="shared" si="43"/>
        <v>1558.06</v>
      </c>
      <c r="BN67" s="56">
        <f t="shared" si="44"/>
        <v>146986.035</v>
      </c>
      <c r="BO67" s="56">
        <f t="shared" si="45"/>
        <v>195981.38</v>
      </c>
      <c r="BP67" s="56">
        <f t="shared" si="46"/>
        <v>559946.79999999993</v>
      </c>
      <c r="BR67" s="54"/>
    </row>
    <row r="68" spans="1:70" x14ac:dyDescent="0.2">
      <c r="A68" s="6">
        <v>43198</v>
      </c>
      <c r="B68" s="53" t="s">
        <v>193</v>
      </c>
      <c r="C68" s="17" t="s">
        <v>4</v>
      </c>
      <c r="D68" s="17" t="s">
        <v>10</v>
      </c>
      <c r="E68" s="26">
        <v>1.93</v>
      </c>
      <c r="F68" s="25">
        <v>1.93</v>
      </c>
      <c r="G68" s="13"/>
      <c r="H68" s="17">
        <v>10</v>
      </c>
      <c r="I68" s="17">
        <f t="shared" si="61"/>
        <v>2.61</v>
      </c>
      <c r="J68" s="22">
        <f t="shared" si="62"/>
        <v>3.13</v>
      </c>
      <c r="K68" s="22">
        <f t="shared" si="63"/>
        <v>3.8</v>
      </c>
      <c r="L68" s="22">
        <f t="shared" si="47"/>
        <v>5.22</v>
      </c>
      <c r="M68" s="22">
        <f t="shared" si="48"/>
        <v>6.5249999999999995</v>
      </c>
      <c r="N68" s="22">
        <f t="shared" si="49"/>
        <v>7.83</v>
      </c>
      <c r="O68" s="22">
        <f t="shared" si="50"/>
        <v>9.1349999999999998</v>
      </c>
      <c r="P68" s="30">
        <f t="shared" si="64"/>
        <v>10.962000000000002</v>
      </c>
      <c r="Q68" s="30">
        <f t="shared" si="65"/>
        <v>12.33225</v>
      </c>
      <c r="R68" s="30">
        <f t="shared" si="66"/>
        <v>13.017374999999999</v>
      </c>
      <c r="S68" s="30">
        <f t="shared" si="67"/>
        <v>12.789</v>
      </c>
      <c r="T68" s="30">
        <f t="shared" si="68"/>
        <v>13.702500000000001</v>
      </c>
      <c r="U68" s="30">
        <f t="shared" si="80"/>
        <v>18.27</v>
      </c>
      <c r="V68" s="30">
        <f t="shared" si="79"/>
        <v>52.199999999999996</v>
      </c>
      <c r="W68" s="22"/>
      <c r="X68" s="23">
        <f t="shared" si="53"/>
        <v>36540</v>
      </c>
      <c r="Y68" s="23"/>
      <c r="Z68" s="23">
        <f t="shared" si="54"/>
        <v>43848.000000000007</v>
      </c>
      <c r="AA68" s="23">
        <f t="shared" si="78"/>
        <v>54810</v>
      </c>
      <c r="AB68" s="23">
        <f t="shared" si="78"/>
        <v>73080</v>
      </c>
      <c r="AC68" s="1" t="s">
        <v>44</v>
      </c>
      <c r="AE68" s="36">
        <f t="shared" si="56"/>
        <v>3.21</v>
      </c>
      <c r="AF68" s="37">
        <f t="shared" si="70"/>
        <v>3116.91</v>
      </c>
      <c r="AG68" s="28">
        <f t="shared" si="57"/>
        <v>10644.102000000001</v>
      </c>
      <c r="AH68" s="28">
        <f t="shared" si="71"/>
        <v>13305.127500000001</v>
      </c>
      <c r="AI68" s="28">
        <f t="shared" si="71"/>
        <v>17740.169999999998</v>
      </c>
      <c r="AJ68" s="28">
        <f t="shared" si="71"/>
        <v>50686.2</v>
      </c>
      <c r="AK68" s="38"/>
      <c r="AL68" s="39">
        <v>3.21</v>
      </c>
      <c r="AM68" s="40">
        <f t="shared" si="72"/>
        <v>199.02</v>
      </c>
      <c r="AN68" s="28">
        <f t="shared" si="58"/>
        <v>679.64400000000012</v>
      </c>
      <c r="AO68" s="28">
        <f t="shared" si="73"/>
        <v>849.55500000000006</v>
      </c>
      <c r="AP68" s="28">
        <f t="shared" si="73"/>
        <v>1132.74</v>
      </c>
      <c r="AQ68" s="28">
        <f t="shared" si="73"/>
        <v>3236.3999999999996</v>
      </c>
      <c r="AS68" s="28">
        <f t="shared" si="59"/>
        <v>84.40740000000001</v>
      </c>
      <c r="AT68" s="28">
        <f t="shared" si="74"/>
        <v>105.50925000000001</v>
      </c>
      <c r="AU68" s="28">
        <f t="shared" si="74"/>
        <v>140.679</v>
      </c>
      <c r="AV68" s="28">
        <f t="shared" si="74"/>
        <v>401.94</v>
      </c>
      <c r="AX68" s="31">
        <f t="shared" si="60"/>
        <v>5481.0000000000009</v>
      </c>
      <c r="AY68" s="31">
        <f t="shared" si="75"/>
        <v>6851.25</v>
      </c>
      <c r="AZ68" s="31">
        <f t="shared" si="75"/>
        <v>9135</v>
      </c>
      <c r="BA68" s="31">
        <f t="shared" si="75"/>
        <v>26099.999999999996</v>
      </c>
      <c r="BD68" s="55">
        <f t="shared" si="38"/>
        <v>47.273625000000003</v>
      </c>
      <c r="BE68" s="55">
        <f t="shared" si="39"/>
        <v>63.031500000000001</v>
      </c>
      <c r="BF68" s="55">
        <f t="shared" si="40"/>
        <v>180.09</v>
      </c>
      <c r="BI68" s="55">
        <f t="shared" si="41"/>
        <v>245.95987500000001</v>
      </c>
      <c r="BJ68" s="55">
        <f t="shared" si="42"/>
        <v>327.94649999999996</v>
      </c>
      <c r="BK68" s="55">
        <f t="shared" si="43"/>
        <v>936.9899999999999</v>
      </c>
      <c r="BN68" s="56">
        <f t="shared" si="44"/>
        <v>88394.827499999999</v>
      </c>
      <c r="BO68" s="56">
        <f t="shared" si="45"/>
        <v>117859.77</v>
      </c>
      <c r="BP68" s="56">
        <f t="shared" si="46"/>
        <v>336742.19999999995</v>
      </c>
      <c r="BR68" s="54"/>
    </row>
    <row r="69" spans="1:70" x14ac:dyDescent="0.2">
      <c r="A69" s="14">
        <v>43200</v>
      </c>
      <c r="B69" s="51" t="s">
        <v>194</v>
      </c>
      <c r="C69" s="17" t="s">
        <v>8</v>
      </c>
      <c r="D69" s="17" t="s">
        <v>10</v>
      </c>
      <c r="E69" s="18">
        <v>2.20714285714286</v>
      </c>
      <c r="F69" s="25">
        <v>4.1100000000000003</v>
      </c>
      <c r="G69" s="13" t="s">
        <v>7</v>
      </c>
      <c r="H69" s="17">
        <v>30</v>
      </c>
      <c r="I69" s="30">
        <f t="shared" si="61"/>
        <v>4.79</v>
      </c>
      <c r="J69" s="22">
        <f t="shared" si="62"/>
        <v>5.3100000000000005</v>
      </c>
      <c r="K69" s="22">
        <f t="shared" si="63"/>
        <v>5.98</v>
      </c>
      <c r="L69" s="22">
        <f t="shared" si="47"/>
        <v>9.58</v>
      </c>
      <c r="M69" s="22">
        <f t="shared" si="48"/>
        <v>11.975</v>
      </c>
      <c r="N69" s="22">
        <f t="shared" si="49"/>
        <v>14.370000000000001</v>
      </c>
      <c r="O69" s="22">
        <f t="shared" si="50"/>
        <v>16.765000000000001</v>
      </c>
      <c r="P69" s="30">
        <f t="shared" si="64"/>
        <v>20.118000000000002</v>
      </c>
      <c r="Q69" s="30">
        <f t="shared" si="65"/>
        <v>22.632750000000001</v>
      </c>
      <c r="R69" s="30">
        <f t="shared" si="66"/>
        <v>23.890125000000001</v>
      </c>
      <c r="S69" s="30">
        <f t="shared" si="67"/>
        <v>23.471</v>
      </c>
      <c r="T69" s="30">
        <f t="shared" si="68"/>
        <v>25.147500000000001</v>
      </c>
      <c r="U69" s="30">
        <f t="shared" si="80"/>
        <v>33.53</v>
      </c>
      <c r="V69" s="30">
        <f t="shared" si="79"/>
        <v>95.8</v>
      </c>
      <c r="W69" s="22"/>
      <c r="X69" s="23">
        <f t="shared" si="53"/>
        <v>67060</v>
      </c>
      <c r="Y69" s="23"/>
      <c r="Z69" s="23">
        <f t="shared" si="54"/>
        <v>80472.000000000015</v>
      </c>
      <c r="AA69" s="23">
        <f t="shared" si="78"/>
        <v>100590</v>
      </c>
      <c r="AB69" s="23">
        <f t="shared" si="78"/>
        <v>134120</v>
      </c>
      <c r="AC69" s="1" t="s">
        <v>44</v>
      </c>
      <c r="AE69" s="36">
        <f t="shared" si="56"/>
        <v>5.39</v>
      </c>
      <c r="AF69" s="37">
        <f t="shared" si="70"/>
        <v>5233.6899999999996</v>
      </c>
      <c r="AG69" s="28">
        <f t="shared" si="57"/>
        <v>19534.578000000001</v>
      </c>
      <c r="AH69" s="28">
        <f t="shared" si="71"/>
        <v>24418.2225</v>
      </c>
      <c r="AI69" s="28">
        <f t="shared" si="71"/>
        <v>32557.63</v>
      </c>
      <c r="AJ69" s="28">
        <f t="shared" si="71"/>
        <v>93021.8</v>
      </c>
      <c r="AK69" s="38"/>
      <c r="AL69" s="39">
        <v>5.39</v>
      </c>
      <c r="AM69" s="40">
        <f t="shared" si="72"/>
        <v>334.18</v>
      </c>
      <c r="AN69" s="28">
        <f t="shared" si="58"/>
        <v>1247.316</v>
      </c>
      <c r="AO69" s="28">
        <f t="shared" si="73"/>
        <v>1559.145</v>
      </c>
      <c r="AP69" s="28">
        <f t="shared" si="73"/>
        <v>2078.86</v>
      </c>
      <c r="AQ69" s="28">
        <f t="shared" si="73"/>
        <v>5939.5999999999995</v>
      </c>
      <c r="AS69" s="28">
        <f t="shared" si="59"/>
        <v>154.90860000000001</v>
      </c>
      <c r="AT69" s="28">
        <f t="shared" si="74"/>
        <v>193.63575</v>
      </c>
      <c r="AU69" s="28">
        <f t="shared" si="74"/>
        <v>258.18100000000004</v>
      </c>
      <c r="AV69" s="28">
        <f t="shared" si="74"/>
        <v>737.66</v>
      </c>
      <c r="AX69" s="31">
        <f t="shared" si="60"/>
        <v>10059.000000000002</v>
      </c>
      <c r="AY69" s="31">
        <f t="shared" si="75"/>
        <v>12573.75</v>
      </c>
      <c r="AZ69" s="31">
        <f t="shared" si="75"/>
        <v>16765</v>
      </c>
      <c r="BA69" s="31">
        <f t="shared" si="75"/>
        <v>47900</v>
      </c>
      <c r="BD69" s="55">
        <f t="shared" si="38"/>
        <v>86.758875000000003</v>
      </c>
      <c r="BE69" s="55">
        <f t="shared" si="39"/>
        <v>115.67850000000001</v>
      </c>
      <c r="BF69" s="55">
        <f t="shared" si="40"/>
        <v>330.51</v>
      </c>
      <c r="BI69" s="55">
        <f t="shared" si="41"/>
        <v>451.39762500000001</v>
      </c>
      <c r="BJ69" s="55">
        <f t="shared" si="42"/>
        <v>601.86350000000004</v>
      </c>
      <c r="BK69" s="55">
        <f t="shared" si="43"/>
        <v>1719.61</v>
      </c>
      <c r="BN69" s="56">
        <f t="shared" si="44"/>
        <v>162226.52249999999</v>
      </c>
      <c r="BO69" s="56">
        <f t="shared" si="45"/>
        <v>216302.03</v>
      </c>
      <c r="BP69" s="56">
        <f t="shared" si="46"/>
        <v>618005.79999999993</v>
      </c>
      <c r="BR69" s="54"/>
    </row>
    <row r="70" spans="1:70" x14ac:dyDescent="0.2">
      <c r="A70" s="14">
        <v>43372</v>
      </c>
      <c r="B70" s="53" t="s">
        <v>203</v>
      </c>
      <c r="C70" s="17" t="s">
        <v>23</v>
      </c>
      <c r="D70" s="17" t="s">
        <v>12</v>
      </c>
      <c r="E70" s="18">
        <v>0.754285714285714</v>
      </c>
      <c r="F70" s="19">
        <v>1.66</v>
      </c>
      <c r="G70" s="13" t="s">
        <v>7</v>
      </c>
      <c r="H70" s="11">
        <v>10</v>
      </c>
      <c r="I70" s="17">
        <f t="shared" si="61"/>
        <v>2.34</v>
      </c>
      <c r="J70" s="22">
        <f t="shared" si="62"/>
        <v>2.86</v>
      </c>
      <c r="K70" s="22">
        <f t="shared" si="63"/>
        <v>3.5300000000000002</v>
      </c>
      <c r="L70" s="22">
        <f t="shared" si="47"/>
        <v>4.68</v>
      </c>
      <c r="M70" s="22">
        <f t="shared" si="48"/>
        <v>5.85</v>
      </c>
      <c r="N70" s="22">
        <f t="shared" si="49"/>
        <v>7.02</v>
      </c>
      <c r="O70" s="22">
        <f t="shared" si="50"/>
        <v>8.19</v>
      </c>
      <c r="P70" s="30">
        <f t="shared" si="64"/>
        <v>14.04</v>
      </c>
      <c r="Q70" s="30">
        <f t="shared" si="65"/>
        <v>15.794999999999998</v>
      </c>
      <c r="R70" s="30">
        <f t="shared" si="66"/>
        <v>16.672499999999996</v>
      </c>
      <c r="S70" s="30">
        <f t="shared" si="67"/>
        <v>16.38</v>
      </c>
      <c r="T70" s="30">
        <f t="shared" si="68"/>
        <v>17.549999999999997</v>
      </c>
      <c r="U70" s="30">
        <f t="shared" ref="U70:U82" si="81">I70*10</f>
        <v>23.4</v>
      </c>
      <c r="V70" s="30">
        <f t="shared" si="79"/>
        <v>46.8</v>
      </c>
      <c r="W70" s="22"/>
      <c r="X70" s="23">
        <f t="shared" si="53"/>
        <v>32759.999999999996</v>
      </c>
      <c r="Y70" s="23"/>
      <c r="Z70" s="23">
        <f t="shared" si="54"/>
        <v>56160</v>
      </c>
      <c r="AA70" s="23">
        <f t="shared" si="78"/>
        <v>70199.999999999985</v>
      </c>
      <c r="AB70" s="23">
        <f t="shared" si="78"/>
        <v>93600</v>
      </c>
      <c r="AE70" s="36">
        <f t="shared" si="56"/>
        <v>2.94</v>
      </c>
      <c r="AF70" s="37">
        <f t="shared" si="70"/>
        <v>2854.74</v>
      </c>
      <c r="AG70" s="28">
        <f t="shared" si="57"/>
        <v>13632.839999999998</v>
      </c>
      <c r="AH70" s="28">
        <f t="shared" si="71"/>
        <v>17041.049999999996</v>
      </c>
      <c r="AI70" s="28">
        <f t="shared" si="71"/>
        <v>22721.399999999998</v>
      </c>
      <c r="AJ70" s="28">
        <f t="shared" si="71"/>
        <v>45442.799999999996</v>
      </c>
      <c r="AK70" s="38"/>
      <c r="AL70" s="39">
        <v>2.94</v>
      </c>
      <c r="AM70" s="40">
        <f t="shared" si="72"/>
        <v>182.28</v>
      </c>
      <c r="AN70" s="28">
        <f t="shared" si="58"/>
        <v>870.4799999999999</v>
      </c>
      <c r="AO70" s="28">
        <f t="shared" si="73"/>
        <v>1088.0999999999999</v>
      </c>
      <c r="AP70" s="28">
        <f t="shared" si="73"/>
        <v>1450.8</v>
      </c>
      <c r="AQ70" s="28">
        <f t="shared" si="73"/>
        <v>2901.6</v>
      </c>
      <c r="AS70" s="28">
        <f t="shared" si="59"/>
        <v>108.10799999999999</v>
      </c>
      <c r="AT70" s="28">
        <f t="shared" si="74"/>
        <v>135.13499999999999</v>
      </c>
      <c r="AU70" s="28">
        <f t="shared" si="74"/>
        <v>180.18</v>
      </c>
      <c r="AV70" s="28">
        <f t="shared" si="74"/>
        <v>360.36</v>
      </c>
      <c r="AX70" s="31">
        <f t="shared" si="60"/>
        <v>7020</v>
      </c>
      <c r="AY70" s="31">
        <f t="shared" si="75"/>
        <v>8774.9999999999982</v>
      </c>
      <c r="AZ70" s="31">
        <f t="shared" si="75"/>
        <v>11700</v>
      </c>
      <c r="BA70" s="31">
        <f t="shared" si="75"/>
        <v>23400</v>
      </c>
      <c r="BD70" s="55">
        <f t="shared" ref="BD70:BD136" si="82">T70*3.45</f>
        <v>60.547499999999992</v>
      </c>
      <c r="BE70" s="55">
        <f t="shared" ref="BE70:BE136" si="83">U70*3.45</f>
        <v>80.73</v>
      </c>
      <c r="BF70" s="55">
        <f t="shared" ref="BF70:BF136" si="84">V70*3.45</f>
        <v>161.46</v>
      </c>
      <c r="BI70" s="55">
        <f t="shared" ref="BI70:BI136" si="85">T70*17.95</f>
        <v>315.02249999999992</v>
      </c>
      <c r="BJ70" s="55">
        <f t="shared" ref="BJ70:BJ136" si="86">U70*17.95</f>
        <v>420.03</v>
      </c>
      <c r="BK70" s="55">
        <f t="shared" ref="BK70:BK136" si="87">V70*17.95</f>
        <v>840.06</v>
      </c>
      <c r="BN70" s="56">
        <f t="shared" ref="BN70:BN136" si="88">T70*6451</f>
        <v>113215.04999999999</v>
      </c>
      <c r="BO70" s="56">
        <f t="shared" ref="BO70:BO136" si="89">U70*6451</f>
        <v>150953.4</v>
      </c>
      <c r="BP70" s="56">
        <f t="shared" ref="BP70:BP136" si="90">V70*6451</f>
        <v>301906.8</v>
      </c>
      <c r="BR70" s="54"/>
    </row>
    <row r="71" spans="1:70" x14ac:dyDescent="0.2">
      <c r="A71" s="14">
        <v>43390</v>
      </c>
      <c r="B71" s="53" t="s">
        <v>204</v>
      </c>
      <c r="C71" s="34" t="s">
        <v>18</v>
      </c>
      <c r="D71" s="17" t="s">
        <v>10</v>
      </c>
      <c r="E71" s="18">
        <v>0.994285714285714</v>
      </c>
      <c r="F71" s="19">
        <v>3.34</v>
      </c>
      <c r="G71" s="13" t="s">
        <v>7</v>
      </c>
      <c r="H71" s="11">
        <v>20</v>
      </c>
      <c r="I71" s="17">
        <f t="shared" si="61"/>
        <v>4.0199999999999996</v>
      </c>
      <c r="J71" s="22">
        <f t="shared" si="62"/>
        <v>4.54</v>
      </c>
      <c r="K71" s="22">
        <f t="shared" si="63"/>
        <v>5.21</v>
      </c>
      <c r="L71" s="22">
        <f t="shared" si="47"/>
        <v>8.0399999999999991</v>
      </c>
      <c r="M71" s="22">
        <f t="shared" si="48"/>
        <v>10.049999999999999</v>
      </c>
      <c r="N71" s="22">
        <f t="shared" si="49"/>
        <v>12.059999999999999</v>
      </c>
      <c r="O71" s="22">
        <f t="shared" si="50"/>
        <v>14.069999999999999</v>
      </c>
      <c r="P71" s="30">
        <f t="shared" si="64"/>
        <v>24.12</v>
      </c>
      <c r="Q71" s="30">
        <f t="shared" si="65"/>
        <v>27.134999999999998</v>
      </c>
      <c r="R71" s="30">
        <f t="shared" si="66"/>
        <v>28.642499999999998</v>
      </c>
      <c r="S71" s="30">
        <f t="shared" si="67"/>
        <v>28.139999999999993</v>
      </c>
      <c r="T71" s="30">
        <f t="shared" si="68"/>
        <v>30.15</v>
      </c>
      <c r="U71" s="30">
        <f t="shared" si="81"/>
        <v>40.199999999999996</v>
      </c>
      <c r="V71" s="30">
        <f t="shared" si="79"/>
        <v>80.399999999999991</v>
      </c>
      <c r="W71" s="22"/>
      <c r="X71" s="23">
        <f t="shared" si="53"/>
        <v>56279.999999999993</v>
      </c>
      <c r="Y71" s="23"/>
      <c r="Z71" s="23">
        <f t="shared" si="54"/>
        <v>96480</v>
      </c>
      <c r="AA71" s="23">
        <f t="shared" si="78"/>
        <v>120600</v>
      </c>
      <c r="AB71" s="23">
        <f t="shared" si="78"/>
        <v>160799.99999999997</v>
      </c>
      <c r="AE71" s="36">
        <f t="shared" si="56"/>
        <v>4.6199999999999992</v>
      </c>
      <c r="AF71" s="37">
        <f t="shared" si="70"/>
        <v>4486.0199999999995</v>
      </c>
      <c r="AG71" s="28">
        <f t="shared" si="57"/>
        <v>23420.52</v>
      </c>
      <c r="AH71" s="28">
        <f t="shared" si="71"/>
        <v>29275.649999999998</v>
      </c>
      <c r="AI71" s="28">
        <f t="shared" si="71"/>
        <v>39034.199999999997</v>
      </c>
      <c r="AJ71" s="28">
        <f t="shared" si="71"/>
        <v>78068.399999999994</v>
      </c>
      <c r="AK71" s="38"/>
      <c r="AL71" s="39">
        <v>5.72</v>
      </c>
      <c r="AM71" s="40">
        <f t="shared" si="72"/>
        <v>354.64</v>
      </c>
      <c r="AN71" s="28">
        <f t="shared" si="58"/>
        <v>1495.44</v>
      </c>
      <c r="AO71" s="28">
        <f t="shared" si="73"/>
        <v>1869.3</v>
      </c>
      <c r="AP71" s="28">
        <f t="shared" si="73"/>
        <v>2492.3999999999996</v>
      </c>
      <c r="AQ71" s="28">
        <f t="shared" si="73"/>
        <v>4984.7999999999993</v>
      </c>
      <c r="AS71" s="28">
        <f t="shared" si="59"/>
        <v>185.72400000000002</v>
      </c>
      <c r="AT71" s="28">
        <f t="shared" si="74"/>
        <v>232.155</v>
      </c>
      <c r="AU71" s="28">
        <f t="shared" si="74"/>
        <v>309.53999999999996</v>
      </c>
      <c r="AV71" s="28">
        <f t="shared" si="74"/>
        <v>619.07999999999993</v>
      </c>
      <c r="AX71" s="31">
        <f t="shared" si="60"/>
        <v>12060</v>
      </c>
      <c r="AY71" s="31">
        <f t="shared" si="75"/>
        <v>15075</v>
      </c>
      <c r="AZ71" s="31">
        <f t="shared" si="75"/>
        <v>20099.999999999996</v>
      </c>
      <c r="BA71" s="31">
        <f t="shared" si="75"/>
        <v>40199.999999999993</v>
      </c>
      <c r="BD71" s="55">
        <f t="shared" si="82"/>
        <v>104.0175</v>
      </c>
      <c r="BE71" s="55">
        <f t="shared" si="83"/>
        <v>138.69</v>
      </c>
      <c r="BF71" s="55">
        <f t="shared" si="84"/>
        <v>277.38</v>
      </c>
      <c r="BI71" s="55">
        <f t="shared" si="85"/>
        <v>541.1925</v>
      </c>
      <c r="BJ71" s="55">
        <f t="shared" si="86"/>
        <v>721.58999999999992</v>
      </c>
      <c r="BK71" s="55">
        <f t="shared" si="87"/>
        <v>1443.1799999999998</v>
      </c>
      <c r="BN71" s="56">
        <f t="shared" si="88"/>
        <v>194497.65</v>
      </c>
      <c r="BO71" s="56">
        <f t="shared" si="89"/>
        <v>259330.19999999998</v>
      </c>
      <c r="BP71" s="56">
        <f t="shared" si="90"/>
        <v>518660.39999999997</v>
      </c>
      <c r="BR71" s="54"/>
    </row>
    <row r="72" spans="1:70" x14ac:dyDescent="0.2">
      <c r="A72" s="14">
        <v>43400</v>
      </c>
      <c r="B72" s="53" t="s">
        <v>205</v>
      </c>
      <c r="C72" s="17" t="s">
        <v>8</v>
      </c>
      <c r="D72" s="17" t="s">
        <v>10</v>
      </c>
      <c r="E72" s="18">
        <v>1.21714285714286</v>
      </c>
      <c r="F72" s="19">
        <v>4.4400000000000004</v>
      </c>
      <c r="G72" s="13" t="s">
        <v>7</v>
      </c>
      <c r="H72" s="17">
        <v>40</v>
      </c>
      <c r="I72" s="17">
        <f t="shared" si="61"/>
        <v>5.12</v>
      </c>
      <c r="J72" s="22">
        <f t="shared" si="62"/>
        <v>5.6400000000000006</v>
      </c>
      <c r="K72" s="22">
        <f t="shared" si="63"/>
        <v>6.3100000000000005</v>
      </c>
      <c r="L72" s="22">
        <f t="shared" si="47"/>
        <v>10.24</v>
      </c>
      <c r="M72" s="22">
        <f t="shared" si="48"/>
        <v>12.8</v>
      </c>
      <c r="N72" s="22">
        <f t="shared" si="49"/>
        <v>15.36</v>
      </c>
      <c r="O72" s="22">
        <f t="shared" si="50"/>
        <v>17.920000000000002</v>
      </c>
      <c r="P72" s="30">
        <f t="shared" si="64"/>
        <v>30.720000000000006</v>
      </c>
      <c r="Q72" s="30">
        <f t="shared" si="65"/>
        <v>34.560000000000009</v>
      </c>
      <c r="R72" s="30">
        <f t="shared" si="66"/>
        <v>36.480000000000004</v>
      </c>
      <c r="S72" s="30">
        <f t="shared" si="67"/>
        <v>35.839999999999996</v>
      </c>
      <c r="T72" s="30">
        <f t="shared" si="68"/>
        <v>38.400000000000006</v>
      </c>
      <c r="U72" s="30">
        <f t="shared" si="81"/>
        <v>51.2</v>
      </c>
      <c r="V72" s="30">
        <f t="shared" si="79"/>
        <v>102.4</v>
      </c>
      <c r="W72" s="22"/>
      <c r="X72" s="23">
        <f t="shared" si="53"/>
        <v>71680</v>
      </c>
      <c r="Y72" s="23"/>
      <c r="Z72" s="23">
        <f t="shared" si="54"/>
        <v>122880.00000000003</v>
      </c>
      <c r="AA72" s="23">
        <f t="shared" si="78"/>
        <v>153600.00000000003</v>
      </c>
      <c r="AB72" s="23">
        <f t="shared" si="78"/>
        <v>204800</v>
      </c>
      <c r="AE72" s="36">
        <f t="shared" si="56"/>
        <v>5.72</v>
      </c>
      <c r="AF72" s="37">
        <f t="shared" si="70"/>
        <v>5554.12</v>
      </c>
      <c r="AG72" s="28">
        <f t="shared" si="57"/>
        <v>29829.120000000006</v>
      </c>
      <c r="AH72" s="28">
        <f t="shared" si="71"/>
        <v>37286.400000000009</v>
      </c>
      <c r="AI72" s="28">
        <f t="shared" si="71"/>
        <v>49715.200000000004</v>
      </c>
      <c r="AJ72" s="28">
        <f t="shared" si="71"/>
        <v>99430.400000000009</v>
      </c>
      <c r="AK72" s="38"/>
      <c r="AL72" s="39">
        <v>4.6199999999999992</v>
      </c>
      <c r="AM72" s="40">
        <f t="shared" si="72"/>
        <v>286.43999999999994</v>
      </c>
      <c r="AN72" s="28">
        <f t="shared" si="58"/>
        <v>1904.6400000000003</v>
      </c>
      <c r="AO72" s="28">
        <f t="shared" si="73"/>
        <v>2380.8000000000002</v>
      </c>
      <c r="AP72" s="28">
        <f t="shared" si="73"/>
        <v>3174.4</v>
      </c>
      <c r="AQ72" s="28">
        <f t="shared" si="73"/>
        <v>6348.8</v>
      </c>
      <c r="AS72" s="28">
        <f t="shared" si="59"/>
        <v>236.54400000000004</v>
      </c>
      <c r="AT72" s="28">
        <f t="shared" si="74"/>
        <v>295.68000000000006</v>
      </c>
      <c r="AU72" s="28">
        <f t="shared" si="74"/>
        <v>394.24</v>
      </c>
      <c r="AV72" s="28">
        <f t="shared" si="74"/>
        <v>788.48</v>
      </c>
      <c r="AX72" s="31">
        <f t="shared" si="60"/>
        <v>15360.000000000004</v>
      </c>
      <c r="AY72" s="31">
        <f t="shared" si="75"/>
        <v>19200.000000000004</v>
      </c>
      <c r="AZ72" s="31">
        <f t="shared" si="75"/>
        <v>25600</v>
      </c>
      <c r="BA72" s="31">
        <f t="shared" si="75"/>
        <v>51200</v>
      </c>
      <c r="BD72" s="55">
        <f t="shared" si="82"/>
        <v>132.48000000000002</v>
      </c>
      <c r="BE72" s="55">
        <f t="shared" si="83"/>
        <v>176.64000000000001</v>
      </c>
      <c r="BF72" s="55">
        <f t="shared" si="84"/>
        <v>353.28000000000003</v>
      </c>
      <c r="BI72" s="55">
        <f t="shared" si="85"/>
        <v>689.28000000000009</v>
      </c>
      <c r="BJ72" s="55">
        <f t="shared" si="86"/>
        <v>919.04</v>
      </c>
      <c r="BK72" s="55">
        <f t="shared" si="87"/>
        <v>1838.08</v>
      </c>
      <c r="BN72" s="56">
        <f t="shared" si="88"/>
        <v>247718.40000000002</v>
      </c>
      <c r="BO72" s="56">
        <f t="shared" si="89"/>
        <v>330291.20000000001</v>
      </c>
      <c r="BP72" s="56">
        <f t="shared" si="90"/>
        <v>660582.40000000002</v>
      </c>
      <c r="BR72" s="54"/>
    </row>
    <row r="73" spans="1:70" x14ac:dyDescent="0.2">
      <c r="A73" s="14">
        <v>43488</v>
      </c>
      <c r="B73" s="53" t="s">
        <v>206</v>
      </c>
      <c r="C73" s="17" t="s">
        <v>11</v>
      </c>
      <c r="D73" s="17" t="s">
        <v>12</v>
      </c>
      <c r="E73" s="18">
        <v>0.57321428571428601</v>
      </c>
      <c r="F73" s="19">
        <v>1.48</v>
      </c>
      <c r="G73" s="13" t="s">
        <v>7</v>
      </c>
      <c r="H73" s="11">
        <v>10</v>
      </c>
      <c r="I73" s="17">
        <f t="shared" si="61"/>
        <v>2.16</v>
      </c>
      <c r="J73" s="22">
        <f t="shared" si="62"/>
        <v>2.6799999999999997</v>
      </c>
      <c r="K73" s="22">
        <f t="shared" si="63"/>
        <v>3.35</v>
      </c>
      <c r="L73" s="22">
        <f t="shared" si="47"/>
        <v>4.32</v>
      </c>
      <c r="M73" s="22">
        <f t="shared" si="48"/>
        <v>5.4</v>
      </c>
      <c r="N73" s="22">
        <f t="shared" si="49"/>
        <v>6.48</v>
      </c>
      <c r="O73" s="22">
        <f t="shared" si="50"/>
        <v>7.5600000000000005</v>
      </c>
      <c r="P73" s="30">
        <f t="shared" si="64"/>
        <v>12.960000000000003</v>
      </c>
      <c r="Q73" s="30">
        <f t="shared" si="65"/>
        <v>14.580000000000004</v>
      </c>
      <c r="R73" s="30">
        <f t="shared" si="66"/>
        <v>15.390000000000002</v>
      </c>
      <c r="S73" s="30">
        <f t="shared" si="67"/>
        <v>15.12</v>
      </c>
      <c r="T73" s="30">
        <f t="shared" si="68"/>
        <v>16.200000000000003</v>
      </c>
      <c r="U73" s="30">
        <f t="shared" si="81"/>
        <v>21.6</v>
      </c>
      <c r="V73" s="30">
        <f t="shared" si="79"/>
        <v>43.2</v>
      </c>
      <c r="W73" s="22"/>
      <c r="X73" s="23">
        <f t="shared" si="53"/>
        <v>30240.000000000004</v>
      </c>
      <c r="Y73" s="23"/>
      <c r="Z73" s="23">
        <f t="shared" si="54"/>
        <v>51840.000000000007</v>
      </c>
      <c r="AA73" s="23">
        <f t="shared" si="78"/>
        <v>64800.000000000015</v>
      </c>
      <c r="AB73" s="23">
        <f t="shared" si="78"/>
        <v>86400</v>
      </c>
      <c r="AE73" s="36">
        <f t="shared" si="56"/>
        <v>2.7600000000000002</v>
      </c>
      <c r="AF73" s="37">
        <f t="shared" si="70"/>
        <v>2679.96</v>
      </c>
      <c r="AG73" s="28">
        <f t="shared" si="57"/>
        <v>12584.160000000002</v>
      </c>
      <c r="AH73" s="28">
        <f t="shared" si="71"/>
        <v>15730.200000000003</v>
      </c>
      <c r="AI73" s="28">
        <f t="shared" si="71"/>
        <v>20973.600000000002</v>
      </c>
      <c r="AJ73" s="28">
        <f t="shared" si="71"/>
        <v>41947.200000000004</v>
      </c>
      <c r="AK73" s="38"/>
      <c r="AL73" s="39">
        <v>2.7600000000000002</v>
      </c>
      <c r="AM73" s="40">
        <f t="shared" si="72"/>
        <v>171.12</v>
      </c>
      <c r="AN73" s="28">
        <f t="shared" si="58"/>
        <v>803.52000000000021</v>
      </c>
      <c r="AO73" s="28">
        <f t="shared" si="73"/>
        <v>1004.4000000000002</v>
      </c>
      <c r="AP73" s="28">
        <f t="shared" si="73"/>
        <v>1339.2</v>
      </c>
      <c r="AQ73" s="28">
        <f t="shared" si="73"/>
        <v>2678.4</v>
      </c>
      <c r="AS73" s="28">
        <f t="shared" si="59"/>
        <v>99.792000000000016</v>
      </c>
      <c r="AT73" s="28">
        <f t="shared" si="74"/>
        <v>124.74000000000002</v>
      </c>
      <c r="AU73" s="28">
        <f t="shared" si="74"/>
        <v>166.32000000000002</v>
      </c>
      <c r="AV73" s="28">
        <f t="shared" si="74"/>
        <v>332.64000000000004</v>
      </c>
      <c r="AX73" s="31">
        <f t="shared" si="60"/>
        <v>6480.0000000000009</v>
      </c>
      <c r="AY73" s="31">
        <f t="shared" si="75"/>
        <v>8100.0000000000018</v>
      </c>
      <c r="AZ73" s="31">
        <f t="shared" si="75"/>
        <v>10800</v>
      </c>
      <c r="BA73" s="31">
        <f t="shared" si="75"/>
        <v>21600</v>
      </c>
      <c r="BD73" s="55">
        <f t="shared" si="82"/>
        <v>55.890000000000015</v>
      </c>
      <c r="BE73" s="55">
        <f t="shared" si="83"/>
        <v>74.52000000000001</v>
      </c>
      <c r="BF73" s="55">
        <f t="shared" si="84"/>
        <v>149.04000000000002</v>
      </c>
      <c r="BI73" s="55">
        <f t="shared" si="85"/>
        <v>290.79000000000002</v>
      </c>
      <c r="BJ73" s="55">
        <f t="shared" si="86"/>
        <v>387.72</v>
      </c>
      <c r="BK73" s="55">
        <f t="shared" si="87"/>
        <v>775.44</v>
      </c>
      <c r="BN73" s="56">
        <f t="shared" si="88"/>
        <v>104506.20000000001</v>
      </c>
      <c r="BO73" s="56">
        <f t="shared" si="89"/>
        <v>139341.6</v>
      </c>
      <c r="BP73" s="56">
        <f t="shared" si="90"/>
        <v>278683.2</v>
      </c>
      <c r="BR73" s="54"/>
    </row>
    <row r="74" spans="1:70" x14ac:dyDescent="0.2">
      <c r="A74" s="14">
        <v>43500</v>
      </c>
      <c r="B74" s="53" t="s">
        <v>207</v>
      </c>
      <c r="C74" s="50" t="s">
        <v>4</v>
      </c>
      <c r="D74" s="17" t="s">
        <v>10</v>
      </c>
      <c r="E74" s="18">
        <v>0.65142857142857102</v>
      </c>
      <c r="F74" s="19">
        <v>2.23</v>
      </c>
      <c r="G74" s="13" t="s">
        <v>7</v>
      </c>
      <c r="H74" s="11">
        <v>20</v>
      </c>
      <c r="I74" s="17">
        <f t="shared" si="61"/>
        <v>2.91</v>
      </c>
      <c r="J74" s="22">
        <f t="shared" si="62"/>
        <v>3.4299999999999997</v>
      </c>
      <c r="K74" s="22">
        <f t="shared" si="63"/>
        <v>4.0999999999999996</v>
      </c>
      <c r="L74" s="22">
        <f t="shared" si="47"/>
        <v>5.82</v>
      </c>
      <c r="M74" s="22">
        <f t="shared" si="48"/>
        <v>7.2750000000000004</v>
      </c>
      <c r="N74" s="22">
        <f t="shared" si="49"/>
        <v>8.73</v>
      </c>
      <c r="O74" s="22">
        <f t="shared" si="50"/>
        <v>10.185</v>
      </c>
      <c r="P74" s="30">
        <f t="shared" si="64"/>
        <v>17.460000000000004</v>
      </c>
      <c r="Q74" s="30">
        <f t="shared" si="65"/>
        <v>19.642500000000002</v>
      </c>
      <c r="R74" s="30">
        <f t="shared" si="66"/>
        <v>20.733750000000001</v>
      </c>
      <c r="S74" s="30">
        <f t="shared" si="67"/>
        <v>20.37</v>
      </c>
      <c r="T74" s="30">
        <f t="shared" si="68"/>
        <v>21.825000000000003</v>
      </c>
      <c r="U74" s="30">
        <f t="shared" si="81"/>
        <v>29.1</v>
      </c>
      <c r="V74" s="30">
        <f t="shared" si="79"/>
        <v>58.2</v>
      </c>
      <c r="W74" s="22"/>
      <c r="X74" s="23">
        <f t="shared" si="53"/>
        <v>40740</v>
      </c>
      <c r="Y74" s="23"/>
      <c r="Z74" s="23">
        <f t="shared" si="54"/>
        <v>69840.000000000015</v>
      </c>
      <c r="AA74" s="23">
        <f t="shared" si="78"/>
        <v>87300.000000000015</v>
      </c>
      <c r="AB74" s="23">
        <f t="shared" si="78"/>
        <v>116400</v>
      </c>
      <c r="AE74" s="36">
        <f t="shared" si="56"/>
        <v>3.5100000000000002</v>
      </c>
      <c r="AF74" s="37">
        <f t="shared" si="70"/>
        <v>3408.21</v>
      </c>
      <c r="AG74" s="28">
        <f t="shared" si="57"/>
        <v>16953.660000000003</v>
      </c>
      <c r="AH74" s="28">
        <f t="shared" si="71"/>
        <v>21192.075000000004</v>
      </c>
      <c r="AI74" s="28">
        <f t="shared" si="71"/>
        <v>28256.100000000002</v>
      </c>
      <c r="AJ74" s="28">
        <f t="shared" si="71"/>
        <v>56512.200000000004</v>
      </c>
      <c r="AK74" s="38"/>
      <c r="AL74" s="39">
        <v>3.5100000000000002</v>
      </c>
      <c r="AM74" s="40">
        <f t="shared" si="72"/>
        <v>217.62</v>
      </c>
      <c r="AN74" s="28">
        <f t="shared" si="58"/>
        <v>1082.5200000000002</v>
      </c>
      <c r="AO74" s="28">
        <f t="shared" si="73"/>
        <v>1353.15</v>
      </c>
      <c r="AP74" s="28">
        <f t="shared" si="73"/>
        <v>1804.2</v>
      </c>
      <c r="AQ74" s="28">
        <f t="shared" si="73"/>
        <v>3608.4</v>
      </c>
      <c r="AS74" s="28">
        <f t="shared" si="59"/>
        <v>134.44200000000004</v>
      </c>
      <c r="AT74" s="28">
        <f t="shared" si="74"/>
        <v>168.05250000000004</v>
      </c>
      <c r="AU74" s="28">
        <f t="shared" si="74"/>
        <v>224.07000000000002</v>
      </c>
      <c r="AV74" s="28">
        <f t="shared" si="74"/>
        <v>448.14000000000004</v>
      </c>
      <c r="AX74" s="31">
        <f t="shared" si="60"/>
        <v>8730.0000000000018</v>
      </c>
      <c r="AY74" s="31">
        <f t="shared" si="75"/>
        <v>10912.500000000002</v>
      </c>
      <c r="AZ74" s="31">
        <f t="shared" si="75"/>
        <v>14550</v>
      </c>
      <c r="BA74" s="31">
        <f t="shared" si="75"/>
        <v>29100</v>
      </c>
      <c r="BD74" s="55">
        <f t="shared" si="82"/>
        <v>75.296250000000015</v>
      </c>
      <c r="BE74" s="55">
        <f t="shared" si="83"/>
        <v>100.39500000000001</v>
      </c>
      <c r="BF74" s="55">
        <f t="shared" si="84"/>
        <v>200.79000000000002</v>
      </c>
      <c r="BI74" s="55">
        <f t="shared" si="85"/>
        <v>391.75875000000002</v>
      </c>
      <c r="BJ74" s="55">
        <f t="shared" si="86"/>
        <v>522.34500000000003</v>
      </c>
      <c r="BK74" s="55">
        <f t="shared" si="87"/>
        <v>1044.69</v>
      </c>
      <c r="BN74" s="56">
        <f t="shared" si="88"/>
        <v>140793.07500000001</v>
      </c>
      <c r="BO74" s="56">
        <f t="shared" si="89"/>
        <v>187724.1</v>
      </c>
      <c r="BP74" s="56">
        <f t="shared" si="90"/>
        <v>375448.2</v>
      </c>
      <c r="BR74" s="54"/>
    </row>
    <row r="75" spans="1:70" x14ac:dyDescent="0.2">
      <c r="A75" s="14">
        <v>43540</v>
      </c>
      <c r="B75" s="53" t="s">
        <v>208</v>
      </c>
      <c r="C75" s="50" t="s">
        <v>15</v>
      </c>
      <c r="D75" s="17" t="s">
        <v>10</v>
      </c>
      <c r="E75" s="18">
        <v>0.65142857142857102</v>
      </c>
      <c r="F75" s="19">
        <v>3.13</v>
      </c>
      <c r="G75" s="13" t="s">
        <v>7</v>
      </c>
      <c r="H75" s="11">
        <v>20</v>
      </c>
      <c r="I75" s="17">
        <f t="shared" si="61"/>
        <v>3.81</v>
      </c>
      <c r="J75" s="22">
        <f t="shared" si="62"/>
        <v>4.33</v>
      </c>
      <c r="K75" s="22">
        <f t="shared" si="63"/>
        <v>5</v>
      </c>
      <c r="L75" s="22">
        <f t="shared" si="47"/>
        <v>7.62</v>
      </c>
      <c r="M75" s="22">
        <f t="shared" si="48"/>
        <v>9.5250000000000004</v>
      </c>
      <c r="N75" s="22">
        <f t="shared" si="49"/>
        <v>11.43</v>
      </c>
      <c r="O75" s="22">
        <f t="shared" si="50"/>
        <v>13.335000000000001</v>
      </c>
      <c r="P75" s="30">
        <f t="shared" si="64"/>
        <v>22.860000000000003</v>
      </c>
      <c r="Q75" s="30">
        <f t="shared" si="65"/>
        <v>25.717500000000005</v>
      </c>
      <c r="R75" s="30">
        <f t="shared" si="66"/>
        <v>27.146250000000002</v>
      </c>
      <c r="S75" s="30">
        <f t="shared" si="67"/>
        <v>26.669999999999998</v>
      </c>
      <c r="T75" s="30">
        <f t="shared" si="68"/>
        <v>28.575000000000003</v>
      </c>
      <c r="U75" s="30">
        <f t="shared" si="81"/>
        <v>38.1</v>
      </c>
      <c r="V75" s="30">
        <f t="shared" si="79"/>
        <v>76.2</v>
      </c>
      <c r="W75" s="22"/>
      <c r="X75" s="23">
        <f t="shared" si="53"/>
        <v>53340</v>
      </c>
      <c r="Y75" s="23"/>
      <c r="Z75" s="23">
        <f t="shared" si="54"/>
        <v>91440.000000000015</v>
      </c>
      <c r="AA75" s="23">
        <f t="shared" si="78"/>
        <v>114300.00000000001</v>
      </c>
      <c r="AB75" s="23">
        <f t="shared" si="78"/>
        <v>152400</v>
      </c>
      <c r="AE75" s="36">
        <f t="shared" si="56"/>
        <v>4.41</v>
      </c>
      <c r="AF75" s="37">
        <f t="shared" si="70"/>
        <v>4282.1100000000006</v>
      </c>
      <c r="AG75" s="28">
        <f t="shared" si="57"/>
        <v>22197.06</v>
      </c>
      <c r="AH75" s="28">
        <f t="shared" si="71"/>
        <v>27746.325000000004</v>
      </c>
      <c r="AI75" s="28">
        <f t="shared" si="71"/>
        <v>36995.1</v>
      </c>
      <c r="AJ75" s="28">
        <f t="shared" si="71"/>
        <v>73990.2</v>
      </c>
      <c r="AK75" s="38"/>
      <c r="AL75" s="39">
        <v>4.41</v>
      </c>
      <c r="AM75" s="40">
        <f t="shared" si="72"/>
        <v>273.42</v>
      </c>
      <c r="AN75" s="28">
        <f t="shared" si="58"/>
        <v>1417.3200000000002</v>
      </c>
      <c r="AO75" s="28">
        <f t="shared" si="73"/>
        <v>1771.65</v>
      </c>
      <c r="AP75" s="28">
        <f t="shared" si="73"/>
        <v>2362.2000000000003</v>
      </c>
      <c r="AQ75" s="28">
        <f t="shared" si="73"/>
        <v>4724.4000000000005</v>
      </c>
      <c r="AS75" s="28">
        <f t="shared" si="59"/>
        <v>176.02200000000002</v>
      </c>
      <c r="AT75" s="28">
        <f t="shared" si="74"/>
        <v>220.02750000000003</v>
      </c>
      <c r="AU75" s="28">
        <f t="shared" si="74"/>
        <v>293.37</v>
      </c>
      <c r="AV75" s="28">
        <f t="shared" si="74"/>
        <v>586.74</v>
      </c>
      <c r="AX75" s="31">
        <f t="shared" si="60"/>
        <v>11430.000000000002</v>
      </c>
      <c r="AY75" s="31">
        <f t="shared" si="75"/>
        <v>14287.500000000002</v>
      </c>
      <c r="AZ75" s="31">
        <f t="shared" si="75"/>
        <v>19050</v>
      </c>
      <c r="BA75" s="31">
        <f t="shared" si="75"/>
        <v>38100</v>
      </c>
      <c r="BD75" s="55">
        <f t="shared" si="82"/>
        <v>98.583750000000009</v>
      </c>
      <c r="BE75" s="55">
        <f t="shared" si="83"/>
        <v>131.44500000000002</v>
      </c>
      <c r="BF75" s="55">
        <f t="shared" si="84"/>
        <v>262.89000000000004</v>
      </c>
      <c r="BI75" s="55">
        <f t="shared" si="85"/>
        <v>512.92124999999999</v>
      </c>
      <c r="BJ75" s="55">
        <f t="shared" si="86"/>
        <v>683.89499999999998</v>
      </c>
      <c r="BK75" s="55">
        <f t="shared" si="87"/>
        <v>1367.79</v>
      </c>
      <c r="BN75" s="56">
        <f t="shared" si="88"/>
        <v>184337.32500000001</v>
      </c>
      <c r="BO75" s="56">
        <f t="shared" si="89"/>
        <v>245783.1</v>
      </c>
      <c r="BP75" s="56">
        <f t="shared" si="90"/>
        <v>491566.2</v>
      </c>
      <c r="BR75" s="54"/>
    </row>
    <row r="76" spans="1:70" x14ac:dyDescent="0.2">
      <c r="A76" s="14">
        <v>43585</v>
      </c>
      <c r="B76" s="53" t="s">
        <v>221</v>
      </c>
      <c r="C76" s="52" t="s">
        <v>19</v>
      </c>
      <c r="D76" s="17" t="s">
        <v>12</v>
      </c>
      <c r="E76" s="18"/>
      <c r="F76" s="19">
        <v>1.56</v>
      </c>
      <c r="G76" s="13"/>
      <c r="H76" s="11"/>
      <c r="I76" s="17">
        <f t="shared" si="61"/>
        <v>2.2400000000000002</v>
      </c>
      <c r="J76" s="22">
        <f t="shared" si="62"/>
        <v>2.76</v>
      </c>
      <c r="K76" s="22">
        <f t="shared" si="63"/>
        <v>3.43</v>
      </c>
      <c r="L76" s="22">
        <f t="shared" si="47"/>
        <v>4.4800000000000004</v>
      </c>
      <c r="M76" s="22">
        <f t="shared" si="48"/>
        <v>5.6000000000000005</v>
      </c>
      <c r="N76" s="22">
        <f t="shared" si="49"/>
        <v>6.7200000000000006</v>
      </c>
      <c r="O76" s="22">
        <f t="shared" si="50"/>
        <v>7.8400000000000007</v>
      </c>
      <c r="P76" s="30">
        <f t="shared" si="64"/>
        <v>13.440000000000001</v>
      </c>
      <c r="Q76" s="30">
        <f t="shared" si="65"/>
        <v>15.120000000000001</v>
      </c>
      <c r="R76" s="30">
        <f t="shared" si="66"/>
        <v>15.959999999999999</v>
      </c>
      <c r="S76" s="30">
        <f t="shared" si="67"/>
        <v>15.68</v>
      </c>
      <c r="T76" s="30">
        <f t="shared" si="68"/>
        <v>16.8</v>
      </c>
      <c r="U76" s="30">
        <f t="shared" si="81"/>
        <v>22.400000000000002</v>
      </c>
      <c r="V76" s="30">
        <f t="shared" si="79"/>
        <v>44.800000000000004</v>
      </c>
      <c r="W76" s="22"/>
      <c r="X76" s="23">
        <f t="shared" si="53"/>
        <v>31360.000000000004</v>
      </c>
      <c r="Y76" s="23"/>
      <c r="Z76" s="23">
        <f t="shared" si="54"/>
        <v>53760.000000000007</v>
      </c>
      <c r="AA76" s="23">
        <f t="shared" si="78"/>
        <v>67200</v>
      </c>
      <c r="AB76" s="23">
        <f t="shared" si="78"/>
        <v>89600.000000000015</v>
      </c>
      <c r="AE76" s="36">
        <f t="shared" si="56"/>
        <v>2.8400000000000003</v>
      </c>
      <c r="AF76" s="37">
        <f t="shared" si="70"/>
        <v>2757.6400000000003</v>
      </c>
      <c r="AG76" s="28">
        <f t="shared" si="57"/>
        <v>13050.240000000002</v>
      </c>
      <c r="AH76" s="28">
        <f t="shared" si="71"/>
        <v>16312.800000000001</v>
      </c>
      <c r="AI76" s="28">
        <f t="shared" si="71"/>
        <v>21750.400000000001</v>
      </c>
      <c r="AJ76" s="28">
        <f t="shared" si="71"/>
        <v>43500.800000000003</v>
      </c>
      <c r="AK76" s="38"/>
      <c r="AL76" s="39"/>
      <c r="AM76" s="40"/>
      <c r="AN76" s="28">
        <f t="shared" si="58"/>
        <v>833.28000000000009</v>
      </c>
      <c r="AO76" s="28">
        <f t="shared" si="73"/>
        <v>1041.6000000000001</v>
      </c>
      <c r="AP76" s="28">
        <f t="shared" si="73"/>
        <v>1388.8000000000002</v>
      </c>
      <c r="AQ76" s="28">
        <f t="shared" si="73"/>
        <v>2777.6000000000004</v>
      </c>
      <c r="AS76" s="28">
        <f t="shared" si="59"/>
        <v>103.48800000000001</v>
      </c>
      <c r="AT76" s="28">
        <f t="shared" si="74"/>
        <v>129.36000000000001</v>
      </c>
      <c r="AU76" s="28">
        <f t="shared" si="74"/>
        <v>172.48000000000002</v>
      </c>
      <c r="AV76" s="28">
        <f t="shared" si="74"/>
        <v>344.96000000000004</v>
      </c>
      <c r="AX76" s="31">
        <f t="shared" si="60"/>
        <v>6720.0000000000009</v>
      </c>
      <c r="AY76" s="31">
        <f t="shared" si="75"/>
        <v>8400</v>
      </c>
      <c r="AZ76" s="31">
        <f t="shared" si="75"/>
        <v>11200.000000000002</v>
      </c>
      <c r="BA76" s="31">
        <f t="shared" si="75"/>
        <v>22400.000000000004</v>
      </c>
      <c r="BD76" s="55">
        <f t="shared" si="82"/>
        <v>57.960000000000008</v>
      </c>
      <c r="BE76" s="55">
        <f t="shared" si="83"/>
        <v>77.280000000000015</v>
      </c>
      <c r="BF76" s="55">
        <f t="shared" si="84"/>
        <v>154.56000000000003</v>
      </c>
      <c r="BI76" s="55">
        <f t="shared" si="85"/>
        <v>301.56</v>
      </c>
      <c r="BJ76" s="55">
        <f t="shared" si="86"/>
        <v>402.08000000000004</v>
      </c>
      <c r="BK76" s="55">
        <f t="shared" si="87"/>
        <v>804.16000000000008</v>
      </c>
      <c r="BN76" s="56">
        <f t="shared" si="88"/>
        <v>108376.8</v>
      </c>
      <c r="BO76" s="56">
        <f t="shared" si="89"/>
        <v>144502.40000000002</v>
      </c>
      <c r="BP76" s="56">
        <f t="shared" si="90"/>
        <v>289004.80000000005</v>
      </c>
      <c r="BR76" s="54"/>
    </row>
    <row r="77" spans="1:70" x14ac:dyDescent="0.2">
      <c r="A77" s="14">
        <v>43588</v>
      </c>
      <c r="B77" s="53" t="s">
        <v>222</v>
      </c>
      <c r="C77" s="17" t="s">
        <v>11</v>
      </c>
      <c r="D77" s="17" t="s">
        <v>12</v>
      </c>
      <c r="E77" s="18">
        <v>0.68571428571428605</v>
      </c>
      <c r="F77" s="19">
        <v>2.2400000000000002</v>
      </c>
      <c r="G77" s="13" t="s">
        <v>7</v>
      </c>
      <c r="H77" s="17">
        <v>10</v>
      </c>
      <c r="I77" s="17">
        <f t="shared" si="61"/>
        <v>2.9200000000000004</v>
      </c>
      <c r="J77" s="22">
        <f t="shared" si="62"/>
        <v>3.4400000000000004</v>
      </c>
      <c r="K77" s="22">
        <f t="shared" si="63"/>
        <v>4.1100000000000003</v>
      </c>
      <c r="L77" s="22">
        <f t="shared" si="47"/>
        <v>5.8400000000000007</v>
      </c>
      <c r="M77" s="22">
        <f t="shared" si="48"/>
        <v>7.3000000000000007</v>
      </c>
      <c r="N77" s="22">
        <f t="shared" si="49"/>
        <v>8.7600000000000016</v>
      </c>
      <c r="O77" s="22">
        <f t="shared" si="50"/>
        <v>10.220000000000001</v>
      </c>
      <c r="P77" s="30">
        <f t="shared" si="64"/>
        <v>17.520000000000003</v>
      </c>
      <c r="Q77" s="30">
        <f t="shared" si="65"/>
        <v>19.71</v>
      </c>
      <c r="R77" s="30">
        <f t="shared" si="66"/>
        <v>20.805</v>
      </c>
      <c r="S77" s="30">
        <f t="shared" si="67"/>
        <v>20.440000000000001</v>
      </c>
      <c r="T77" s="30">
        <f t="shared" si="68"/>
        <v>21.900000000000002</v>
      </c>
      <c r="U77" s="30">
        <f t="shared" si="81"/>
        <v>29.200000000000003</v>
      </c>
      <c r="V77" s="30">
        <f t="shared" si="79"/>
        <v>58.400000000000006</v>
      </c>
      <c r="W77" s="22"/>
      <c r="X77" s="23">
        <f t="shared" si="53"/>
        <v>40880</v>
      </c>
      <c r="Y77" s="23"/>
      <c r="Z77" s="23">
        <f t="shared" si="54"/>
        <v>70080.000000000015</v>
      </c>
      <c r="AA77" s="23">
        <f t="shared" si="78"/>
        <v>87600.000000000015</v>
      </c>
      <c r="AB77" s="23">
        <f t="shared" si="78"/>
        <v>116800.00000000001</v>
      </c>
      <c r="AE77" s="36">
        <f t="shared" si="56"/>
        <v>3.5200000000000005</v>
      </c>
      <c r="AF77" s="37">
        <f t="shared" si="70"/>
        <v>3417.9200000000005</v>
      </c>
      <c r="AG77" s="28">
        <f t="shared" si="57"/>
        <v>17011.920000000002</v>
      </c>
      <c r="AH77" s="28">
        <f t="shared" si="71"/>
        <v>21264.9</v>
      </c>
      <c r="AI77" s="28">
        <f t="shared" si="71"/>
        <v>28353.200000000004</v>
      </c>
      <c r="AJ77" s="28">
        <f t="shared" si="71"/>
        <v>56706.400000000009</v>
      </c>
      <c r="AK77" s="38"/>
      <c r="AL77" s="39">
        <v>3.5200000000000005</v>
      </c>
      <c r="AM77" s="40">
        <f t="shared" si="72"/>
        <v>218.24000000000004</v>
      </c>
      <c r="AN77" s="28">
        <f t="shared" si="58"/>
        <v>1086.2400000000002</v>
      </c>
      <c r="AO77" s="28">
        <f t="shared" si="73"/>
        <v>1357.8000000000002</v>
      </c>
      <c r="AP77" s="28">
        <f t="shared" si="73"/>
        <v>1810.4</v>
      </c>
      <c r="AQ77" s="28">
        <f t="shared" si="73"/>
        <v>3620.8</v>
      </c>
      <c r="AS77" s="28">
        <f t="shared" si="59"/>
        <v>134.90400000000002</v>
      </c>
      <c r="AT77" s="28">
        <f t="shared" si="74"/>
        <v>168.63000000000002</v>
      </c>
      <c r="AU77" s="28">
        <f t="shared" si="74"/>
        <v>224.84000000000003</v>
      </c>
      <c r="AV77" s="28">
        <f t="shared" si="74"/>
        <v>449.68000000000006</v>
      </c>
      <c r="AX77" s="31">
        <f t="shared" si="60"/>
        <v>8760.0000000000018</v>
      </c>
      <c r="AY77" s="31">
        <f t="shared" si="75"/>
        <v>10950.000000000002</v>
      </c>
      <c r="AZ77" s="31">
        <f t="shared" si="75"/>
        <v>14600.000000000002</v>
      </c>
      <c r="BA77" s="31">
        <f t="shared" si="75"/>
        <v>29200.000000000004</v>
      </c>
      <c r="BD77" s="55">
        <f t="shared" si="82"/>
        <v>75.555000000000007</v>
      </c>
      <c r="BE77" s="55">
        <f t="shared" si="83"/>
        <v>100.74000000000001</v>
      </c>
      <c r="BF77" s="55">
        <f t="shared" si="84"/>
        <v>201.48000000000002</v>
      </c>
      <c r="BI77" s="55">
        <f t="shared" si="85"/>
        <v>393.10500000000002</v>
      </c>
      <c r="BJ77" s="55">
        <f t="shared" si="86"/>
        <v>524.14</v>
      </c>
      <c r="BK77" s="55">
        <f t="shared" si="87"/>
        <v>1048.28</v>
      </c>
      <c r="BN77" s="56">
        <f t="shared" si="88"/>
        <v>141276.90000000002</v>
      </c>
      <c r="BO77" s="56">
        <f t="shared" si="89"/>
        <v>188369.2</v>
      </c>
      <c r="BP77" s="56">
        <f t="shared" si="90"/>
        <v>376738.4</v>
      </c>
      <c r="BR77" s="54"/>
    </row>
    <row r="78" spans="1:70" x14ac:dyDescent="0.2">
      <c r="A78" s="14">
        <v>43596</v>
      </c>
      <c r="B78" s="53" t="s">
        <v>223</v>
      </c>
      <c r="C78" s="17" t="s">
        <v>18</v>
      </c>
      <c r="D78" s="17" t="s">
        <v>10</v>
      </c>
      <c r="E78" s="18">
        <v>1.1571428571428599</v>
      </c>
      <c r="F78" s="19">
        <v>3.3</v>
      </c>
      <c r="G78" s="13" t="s">
        <v>7</v>
      </c>
      <c r="H78" s="17">
        <v>30</v>
      </c>
      <c r="I78" s="17">
        <f t="shared" si="61"/>
        <v>3.98</v>
      </c>
      <c r="J78" s="22">
        <f t="shared" si="62"/>
        <v>4.5</v>
      </c>
      <c r="K78" s="22">
        <f t="shared" si="63"/>
        <v>5.17</v>
      </c>
      <c r="L78" s="22">
        <f t="shared" si="47"/>
        <v>7.96</v>
      </c>
      <c r="M78" s="22">
        <f t="shared" si="48"/>
        <v>9.9499999999999993</v>
      </c>
      <c r="N78" s="22">
        <f t="shared" si="49"/>
        <v>11.94</v>
      </c>
      <c r="O78" s="22">
        <f t="shared" si="50"/>
        <v>13.93</v>
      </c>
      <c r="P78" s="30">
        <f t="shared" si="64"/>
        <v>23.88</v>
      </c>
      <c r="Q78" s="30">
        <f t="shared" si="65"/>
        <v>26.864999999999998</v>
      </c>
      <c r="R78" s="30">
        <f t="shared" si="66"/>
        <v>28.357499999999998</v>
      </c>
      <c r="S78" s="30">
        <f t="shared" si="67"/>
        <v>27.859999999999996</v>
      </c>
      <c r="T78" s="30">
        <f t="shared" si="68"/>
        <v>29.849999999999998</v>
      </c>
      <c r="U78" s="30">
        <f t="shared" si="81"/>
        <v>39.799999999999997</v>
      </c>
      <c r="V78" s="30">
        <f t="shared" si="79"/>
        <v>79.599999999999994</v>
      </c>
      <c r="W78" s="22"/>
      <c r="X78" s="23">
        <f t="shared" si="53"/>
        <v>55720</v>
      </c>
      <c r="Y78" s="23"/>
      <c r="Z78" s="23">
        <f t="shared" si="54"/>
        <v>95520</v>
      </c>
      <c r="AA78" s="23">
        <f t="shared" si="78"/>
        <v>119399.99999999999</v>
      </c>
      <c r="AB78" s="23">
        <f t="shared" si="78"/>
        <v>159200</v>
      </c>
      <c r="AE78" s="36">
        <f t="shared" si="56"/>
        <v>4.58</v>
      </c>
      <c r="AF78" s="37">
        <f t="shared" si="70"/>
        <v>4447.18</v>
      </c>
      <c r="AG78" s="28">
        <f t="shared" si="57"/>
        <v>23187.48</v>
      </c>
      <c r="AH78" s="28">
        <f t="shared" si="71"/>
        <v>28984.35</v>
      </c>
      <c r="AI78" s="28">
        <f t="shared" si="71"/>
        <v>38645.799999999996</v>
      </c>
      <c r="AJ78" s="28">
        <f t="shared" si="71"/>
        <v>77291.599999999991</v>
      </c>
      <c r="AK78" s="38"/>
      <c r="AL78" s="39">
        <v>4.58</v>
      </c>
      <c r="AM78" s="40">
        <f t="shared" si="72"/>
        <v>283.95999999999998</v>
      </c>
      <c r="AN78" s="28">
        <f t="shared" si="58"/>
        <v>1480.56</v>
      </c>
      <c r="AO78" s="28">
        <f t="shared" si="73"/>
        <v>1850.6999999999998</v>
      </c>
      <c r="AP78" s="28">
        <f t="shared" si="73"/>
        <v>2467.6</v>
      </c>
      <c r="AQ78" s="28">
        <f t="shared" si="73"/>
        <v>4935.2</v>
      </c>
      <c r="AS78" s="28">
        <f t="shared" si="59"/>
        <v>183.876</v>
      </c>
      <c r="AT78" s="28">
        <f t="shared" si="74"/>
        <v>229.845</v>
      </c>
      <c r="AU78" s="28">
        <f t="shared" si="74"/>
        <v>306.45999999999998</v>
      </c>
      <c r="AV78" s="28">
        <f t="shared" si="74"/>
        <v>612.91999999999996</v>
      </c>
      <c r="AX78" s="31">
        <f t="shared" si="60"/>
        <v>11940</v>
      </c>
      <c r="AY78" s="31">
        <f t="shared" si="75"/>
        <v>14924.999999999998</v>
      </c>
      <c r="AZ78" s="31">
        <f t="shared" si="75"/>
        <v>19900</v>
      </c>
      <c r="BA78" s="31">
        <f t="shared" si="75"/>
        <v>39800</v>
      </c>
      <c r="BD78" s="55">
        <f t="shared" si="82"/>
        <v>102.9825</v>
      </c>
      <c r="BE78" s="55">
        <f t="shared" si="83"/>
        <v>137.31</v>
      </c>
      <c r="BF78" s="55">
        <f t="shared" si="84"/>
        <v>274.62</v>
      </c>
      <c r="BI78" s="55">
        <f t="shared" si="85"/>
        <v>535.80749999999989</v>
      </c>
      <c r="BJ78" s="55">
        <f t="shared" si="86"/>
        <v>714.41</v>
      </c>
      <c r="BK78" s="55">
        <f t="shared" si="87"/>
        <v>1428.82</v>
      </c>
      <c r="BN78" s="56">
        <f t="shared" si="88"/>
        <v>192562.34999999998</v>
      </c>
      <c r="BO78" s="56">
        <f t="shared" si="89"/>
        <v>256749.8</v>
      </c>
      <c r="BP78" s="56">
        <f t="shared" si="90"/>
        <v>513499.6</v>
      </c>
      <c r="BR78" s="54"/>
    </row>
    <row r="79" spans="1:70" x14ac:dyDescent="0.2">
      <c r="A79" s="14">
        <v>43616</v>
      </c>
      <c r="B79" s="51" t="s">
        <v>219</v>
      </c>
      <c r="C79" s="17" t="s">
        <v>11</v>
      </c>
      <c r="D79" s="17" t="s">
        <v>12</v>
      </c>
      <c r="E79" s="18">
        <v>0.61428571428571399</v>
      </c>
      <c r="F79" s="25">
        <v>1.3285714285714301</v>
      </c>
      <c r="G79" s="17"/>
      <c r="H79" s="17">
        <v>10</v>
      </c>
      <c r="I79" s="30">
        <f t="shared" si="61"/>
        <v>2.0085714285714302</v>
      </c>
      <c r="J79" s="22">
        <f t="shared" si="62"/>
        <v>2.5285714285714302</v>
      </c>
      <c r="K79" s="22">
        <f t="shared" si="63"/>
        <v>3.1985714285714302</v>
      </c>
      <c r="L79" s="22">
        <f t="shared" si="47"/>
        <v>4.0171428571428605</v>
      </c>
      <c r="M79" s="22">
        <f t="shared" si="48"/>
        <v>5.0214285714285758</v>
      </c>
      <c r="N79" s="22">
        <f t="shared" si="49"/>
        <v>6.0257142857142902</v>
      </c>
      <c r="O79" s="22">
        <f t="shared" si="50"/>
        <v>7.0300000000000056</v>
      </c>
      <c r="P79" s="30">
        <f t="shared" si="64"/>
        <v>12.051428571428582</v>
      </c>
      <c r="Q79" s="30">
        <f t="shared" si="65"/>
        <v>13.557857142857156</v>
      </c>
      <c r="R79" s="30">
        <f t="shared" si="66"/>
        <v>14.31107142857144</v>
      </c>
      <c r="S79" s="30">
        <f t="shared" si="67"/>
        <v>14.060000000000011</v>
      </c>
      <c r="T79" s="30">
        <f t="shared" si="68"/>
        <v>15.064285714285727</v>
      </c>
      <c r="U79" s="30">
        <f t="shared" si="81"/>
        <v>20.085714285714303</v>
      </c>
      <c r="V79" s="30">
        <f t="shared" si="79"/>
        <v>40.171428571428606</v>
      </c>
      <c r="W79" s="22"/>
      <c r="X79" s="23">
        <f t="shared" si="53"/>
        <v>28120.000000000022</v>
      </c>
      <c r="Y79" s="23"/>
      <c r="Z79" s="23">
        <f t="shared" si="54"/>
        <v>48205.714285714326</v>
      </c>
      <c r="AA79" s="23">
        <f t="shared" si="78"/>
        <v>60257.142857142906</v>
      </c>
      <c r="AB79" s="23">
        <f t="shared" si="78"/>
        <v>80342.857142857218</v>
      </c>
      <c r="AE79" s="36">
        <f t="shared" si="56"/>
        <v>2.6085714285714303</v>
      </c>
      <c r="AF79" s="37">
        <f t="shared" si="70"/>
        <v>2532.9228571428589</v>
      </c>
      <c r="AG79" s="28">
        <f t="shared" si="57"/>
        <v>11701.937142857154</v>
      </c>
      <c r="AH79" s="28">
        <f t="shared" si="71"/>
        <v>14627.421428571441</v>
      </c>
      <c r="AI79" s="28">
        <f t="shared" si="71"/>
        <v>19503.22857142859</v>
      </c>
      <c r="AJ79" s="28">
        <f t="shared" si="71"/>
        <v>39006.45714285718</v>
      </c>
      <c r="AK79" s="38"/>
      <c r="AL79" s="39">
        <v>2.6085714285714303</v>
      </c>
      <c r="AM79" s="40">
        <f t="shared" si="72"/>
        <v>161.73142857142869</v>
      </c>
      <c r="AN79" s="28">
        <f t="shared" si="58"/>
        <v>747.18857142857212</v>
      </c>
      <c r="AO79" s="28">
        <f t="shared" si="73"/>
        <v>933.98571428571506</v>
      </c>
      <c r="AP79" s="28">
        <f t="shared" si="73"/>
        <v>1245.3142857142868</v>
      </c>
      <c r="AQ79" s="28">
        <f t="shared" si="73"/>
        <v>2490.6285714285737</v>
      </c>
      <c r="AS79" s="28">
        <f t="shared" si="59"/>
        <v>92.796000000000092</v>
      </c>
      <c r="AT79" s="28">
        <f t="shared" si="74"/>
        <v>115.9950000000001</v>
      </c>
      <c r="AU79" s="28">
        <f t="shared" si="74"/>
        <v>154.66000000000014</v>
      </c>
      <c r="AV79" s="28">
        <f t="shared" si="74"/>
        <v>309.32000000000028</v>
      </c>
      <c r="AX79" s="31">
        <f t="shared" si="60"/>
        <v>6025.7142857142908</v>
      </c>
      <c r="AY79" s="31">
        <f t="shared" si="75"/>
        <v>7532.1428571428632</v>
      </c>
      <c r="AZ79" s="31">
        <f t="shared" si="75"/>
        <v>10042.857142857152</v>
      </c>
      <c r="BA79" s="31">
        <f t="shared" si="75"/>
        <v>20085.714285714304</v>
      </c>
      <c r="BD79" s="55">
        <f t="shared" si="82"/>
        <v>51.971785714285765</v>
      </c>
      <c r="BE79" s="55">
        <f t="shared" si="83"/>
        <v>69.295714285714354</v>
      </c>
      <c r="BF79" s="55">
        <f t="shared" si="84"/>
        <v>138.59142857142871</v>
      </c>
      <c r="BI79" s="55">
        <f t="shared" si="85"/>
        <v>270.40392857142882</v>
      </c>
      <c r="BJ79" s="55">
        <f t="shared" si="86"/>
        <v>360.53857142857174</v>
      </c>
      <c r="BK79" s="55">
        <f t="shared" si="87"/>
        <v>721.07714285714349</v>
      </c>
      <c r="BN79" s="56">
        <f t="shared" si="88"/>
        <v>97179.707142857224</v>
      </c>
      <c r="BO79" s="56">
        <f t="shared" si="89"/>
        <v>129572.94285714297</v>
      </c>
      <c r="BP79" s="56">
        <f t="shared" si="90"/>
        <v>259145.88571428595</v>
      </c>
      <c r="BR79" s="54"/>
    </row>
    <row r="80" spans="1:70" x14ac:dyDescent="0.2">
      <c r="A80" s="14">
        <v>43620</v>
      </c>
      <c r="B80" s="51" t="s">
        <v>220</v>
      </c>
      <c r="C80" s="17" t="s">
        <v>11</v>
      </c>
      <c r="D80" s="17" t="s">
        <v>10</v>
      </c>
      <c r="E80" s="18">
        <v>0.83714285714285697</v>
      </c>
      <c r="F80" s="25">
        <v>1.9085714285714299</v>
      </c>
      <c r="G80" s="17"/>
      <c r="H80" s="17">
        <v>20</v>
      </c>
      <c r="I80" s="30">
        <f t="shared" si="61"/>
        <v>2.5885714285714299</v>
      </c>
      <c r="J80" s="22">
        <f t="shared" si="62"/>
        <v>3.1085714285714299</v>
      </c>
      <c r="K80" s="22">
        <f t="shared" si="63"/>
        <v>3.7785714285714302</v>
      </c>
      <c r="L80" s="22">
        <f t="shared" si="47"/>
        <v>5.1771428571428597</v>
      </c>
      <c r="M80" s="22">
        <f t="shared" si="48"/>
        <v>6.4714285714285751</v>
      </c>
      <c r="N80" s="22">
        <f t="shared" si="49"/>
        <v>7.7657142857142896</v>
      </c>
      <c r="O80" s="22">
        <f t="shared" si="50"/>
        <v>9.0600000000000041</v>
      </c>
      <c r="P80" s="30">
        <f t="shared" si="64"/>
        <v>15.531428571428581</v>
      </c>
      <c r="Q80" s="30">
        <f t="shared" si="65"/>
        <v>17.472857142857155</v>
      </c>
      <c r="R80" s="30">
        <f t="shared" si="66"/>
        <v>18.443571428571438</v>
      </c>
      <c r="S80" s="30">
        <f t="shared" si="67"/>
        <v>18.120000000000008</v>
      </c>
      <c r="T80" s="30">
        <f t="shared" si="68"/>
        <v>19.414285714285725</v>
      </c>
      <c r="U80" s="30">
        <f t="shared" si="81"/>
        <v>25.8857142857143</v>
      </c>
      <c r="V80" s="30">
        <f t="shared" si="79"/>
        <v>51.771428571428601</v>
      </c>
      <c r="W80" s="22"/>
      <c r="X80" s="23">
        <f t="shared" si="53"/>
        <v>36240.000000000015</v>
      </c>
      <c r="Y80" s="23"/>
      <c r="Z80" s="23">
        <f t="shared" si="54"/>
        <v>62125.714285714326</v>
      </c>
      <c r="AA80" s="23">
        <f t="shared" si="78"/>
        <v>77657.142857142899</v>
      </c>
      <c r="AB80" s="23">
        <f t="shared" si="78"/>
        <v>103542.8571428572</v>
      </c>
      <c r="AE80" s="36">
        <f t="shared" si="56"/>
        <v>3.1885714285714299</v>
      </c>
      <c r="AF80" s="37">
        <f t="shared" si="70"/>
        <v>3096.1028571428583</v>
      </c>
      <c r="AG80" s="28">
        <f t="shared" si="57"/>
        <v>15081.017142857152</v>
      </c>
      <c r="AH80" s="28">
        <f t="shared" si="71"/>
        <v>18851.271428571439</v>
      </c>
      <c r="AI80" s="28">
        <f t="shared" si="71"/>
        <v>25135.028571428586</v>
      </c>
      <c r="AJ80" s="28">
        <f t="shared" si="71"/>
        <v>50270.057142857171</v>
      </c>
      <c r="AK80" s="38"/>
      <c r="AL80" s="39">
        <v>3.1885714285714299</v>
      </c>
      <c r="AM80" s="40">
        <f t="shared" si="72"/>
        <v>197.69142857142865</v>
      </c>
      <c r="AN80" s="28">
        <f t="shared" si="58"/>
        <v>962.948571428572</v>
      </c>
      <c r="AO80" s="28">
        <f t="shared" si="73"/>
        <v>1203.685714285715</v>
      </c>
      <c r="AP80" s="28">
        <f t="shared" si="73"/>
        <v>1604.9142857142865</v>
      </c>
      <c r="AQ80" s="28">
        <f t="shared" si="73"/>
        <v>3209.828571428573</v>
      </c>
      <c r="AS80" s="28">
        <f t="shared" si="59"/>
        <v>119.59200000000007</v>
      </c>
      <c r="AT80" s="28">
        <f t="shared" si="74"/>
        <v>149.49000000000009</v>
      </c>
      <c r="AU80" s="28">
        <f t="shared" si="74"/>
        <v>199.32000000000011</v>
      </c>
      <c r="AV80" s="28">
        <f t="shared" si="74"/>
        <v>398.64000000000021</v>
      </c>
      <c r="AX80" s="31">
        <f t="shared" si="60"/>
        <v>7765.7142857142908</v>
      </c>
      <c r="AY80" s="31">
        <f t="shared" si="75"/>
        <v>9707.1428571428623</v>
      </c>
      <c r="AZ80" s="31">
        <f t="shared" si="75"/>
        <v>12942.85714285715</v>
      </c>
      <c r="BA80" s="31">
        <f t="shared" si="75"/>
        <v>25885.714285714301</v>
      </c>
      <c r="BD80" s="55">
        <f t="shared" si="82"/>
        <v>66.979285714285751</v>
      </c>
      <c r="BE80" s="55">
        <f t="shared" si="83"/>
        <v>89.305714285714345</v>
      </c>
      <c r="BF80" s="55">
        <f t="shared" si="84"/>
        <v>178.61142857142869</v>
      </c>
      <c r="BI80" s="55">
        <f t="shared" si="85"/>
        <v>348.48642857142875</v>
      </c>
      <c r="BJ80" s="55">
        <f t="shared" si="86"/>
        <v>464.6485714285717</v>
      </c>
      <c r="BK80" s="55">
        <f t="shared" si="87"/>
        <v>929.2971428571434</v>
      </c>
      <c r="BN80" s="56">
        <f t="shared" si="88"/>
        <v>125241.55714285721</v>
      </c>
      <c r="BO80" s="56">
        <f t="shared" si="89"/>
        <v>166988.74285714296</v>
      </c>
      <c r="BP80" s="56">
        <f t="shared" si="90"/>
        <v>333977.48571428593</v>
      </c>
      <c r="BR80" s="54"/>
    </row>
    <row r="81" spans="1:70" x14ac:dyDescent="0.2">
      <c r="A81" s="14">
        <v>43702</v>
      </c>
      <c r="B81" s="51" t="s">
        <v>217</v>
      </c>
      <c r="C81" s="17" t="s">
        <v>21</v>
      </c>
      <c r="D81" s="17" t="s">
        <v>12</v>
      </c>
      <c r="E81" s="18">
        <v>0.75</v>
      </c>
      <c r="F81" s="25">
        <v>1.3214285714285701</v>
      </c>
      <c r="G81" s="17"/>
      <c r="H81" s="11">
        <v>10</v>
      </c>
      <c r="I81" s="30">
        <f t="shared" si="61"/>
        <v>2.00142857142857</v>
      </c>
      <c r="J81" s="22">
        <f t="shared" si="62"/>
        <v>2.52142857142857</v>
      </c>
      <c r="K81" s="22">
        <f t="shared" si="63"/>
        <v>3.1914285714285704</v>
      </c>
      <c r="L81" s="22">
        <f t="shared" si="47"/>
        <v>4.00285714285714</v>
      </c>
      <c r="M81" s="22">
        <f t="shared" si="48"/>
        <v>5.0035714285714246</v>
      </c>
      <c r="N81" s="22">
        <f t="shared" si="49"/>
        <v>6.00428571428571</v>
      </c>
      <c r="O81" s="22">
        <f t="shared" si="50"/>
        <v>7.0049999999999955</v>
      </c>
      <c r="P81" s="30">
        <f t="shared" si="64"/>
        <v>12.00857142857142</v>
      </c>
      <c r="Q81" s="30">
        <f t="shared" si="65"/>
        <v>13.509642857142847</v>
      </c>
      <c r="R81" s="30">
        <f t="shared" si="66"/>
        <v>14.260178571428559</v>
      </c>
      <c r="S81" s="30">
        <f t="shared" si="67"/>
        <v>14.009999999999987</v>
      </c>
      <c r="T81" s="30">
        <f t="shared" si="68"/>
        <v>15.010714285714274</v>
      </c>
      <c r="U81" s="30">
        <f t="shared" si="81"/>
        <v>20.014285714285698</v>
      </c>
      <c r="V81" s="30">
        <f t="shared" si="79"/>
        <v>40.028571428571396</v>
      </c>
      <c r="W81" s="22"/>
      <c r="X81" s="23">
        <f t="shared" si="53"/>
        <v>28019.999999999982</v>
      </c>
      <c r="Y81" s="23"/>
      <c r="Z81" s="23">
        <f t="shared" si="54"/>
        <v>48034.285714285681</v>
      </c>
      <c r="AA81" s="23">
        <f t="shared" si="78"/>
        <v>60042.857142857094</v>
      </c>
      <c r="AB81" s="23">
        <f t="shared" si="78"/>
        <v>80057.142857142797</v>
      </c>
      <c r="AE81" s="36">
        <f t="shared" si="56"/>
        <v>2.6014285714285701</v>
      </c>
      <c r="AF81" s="37">
        <f t="shared" si="70"/>
        <v>2525.9871428571414</v>
      </c>
      <c r="AG81" s="28">
        <f t="shared" si="57"/>
        <v>11660.322857142848</v>
      </c>
      <c r="AH81" s="28">
        <f t="shared" si="71"/>
        <v>14575.40357142856</v>
      </c>
      <c r="AI81" s="28">
        <f t="shared" si="71"/>
        <v>19433.871428571412</v>
      </c>
      <c r="AJ81" s="28">
        <f t="shared" si="71"/>
        <v>38867.742857142825</v>
      </c>
      <c r="AK81" s="38"/>
      <c r="AL81" s="39">
        <v>2.6014285714285701</v>
      </c>
      <c r="AM81" s="40">
        <f t="shared" si="72"/>
        <v>161.28857142857134</v>
      </c>
      <c r="AN81" s="28">
        <f t="shared" si="58"/>
        <v>744.53142857142802</v>
      </c>
      <c r="AO81" s="28">
        <f t="shared" si="73"/>
        <v>930.66428571428492</v>
      </c>
      <c r="AP81" s="28">
        <f t="shared" si="73"/>
        <v>1240.8857142857132</v>
      </c>
      <c r="AQ81" s="28">
        <f t="shared" si="73"/>
        <v>2481.7714285714264</v>
      </c>
      <c r="AS81" s="28">
        <f t="shared" si="59"/>
        <v>92.465999999999937</v>
      </c>
      <c r="AT81" s="28">
        <f t="shared" si="74"/>
        <v>115.58249999999991</v>
      </c>
      <c r="AU81" s="28">
        <f t="shared" si="74"/>
        <v>154.10999999999987</v>
      </c>
      <c r="AV81" s="28">
        <f t="shared" si="74"/>
        <v>308.21999999999974</v>
      </c>
      <c r="AX81" s="31">
        <f t="shared" si="60"/>
        <v>6004.2857142857101</v>
      </c>
      <c r="AY81" s="31">
        <f t="shared" si="75"/>
        <v>7505.3571428571368</v>
      </c>
      <c r="AZ81" s="31">
        <f t="shared" si="75"/>
        <v>10007.14285714285</v>
      </c>
      <c r="BA81" s="31">
        <f t="shared" si="75"/>
        <v>20014.285714285699</v>
      </c>
      <c r="BD81" s="55">
        <f t="shared" si="82"/>
        <v>51.786964285714248</v>
      </c>
      <c r="BE81" s="55">
        <f t="shared" si="83"/>
        <v>69.049285714285659</v>
      </c>
      <c r="BF81" s="55">
        <f t="shared" si="84"/>
        <v>138.09857142857132</v>
      </c>
      <c r="BI81" s="55">
        <f t="shared" si="85"/>
        <v>269.44232142857118</v>
      </c>
      <c r="BJ81" s="55">
        <f t="shared" si="86"/>
        <v>359.25642857142827</v>
      </c>
      <c r="BK81" s="55">
        <f t="shared" si="87"/>
        <v>718.51285714285655</v>
      </c>
      <c r="BN81" s="56">
        <f t="shared" si="88"/>
        <v>96834.117857142774</v>
      </c>
      <c r="BO81" s="56">
        <f t="shared" si="89"/>
        <v>129112.15714285705</v>
      </c>
      <c r="BP81" s="56">
        <f t="shared" si="90"/>
        <v>258224.31428571409</v>
      </c>
      <c r="BR81" s="54"/>
    </row>
    <row r="82" spans="1:70" x14ac:dyDescent="0.2">
      <c r="A82" s="14">
        <v>43727</v>
      </c>
      <c r="B82" s="51" t="s">
        <v>218</v>
      </c>
      <c r="C82" s="17" t="s">
        <v>22</v>
      </c>
      <c r="D82" s="17" t="s">
        <v>10</v>
      </c>
      <c r="E82" s="18">
        <v>1.03</v>
      </c>
      <c r="F82" s="25">
        <v>2.1728571428571399</v>
      </c>
      <c r="G82" s="17"/>
      <c r="H82" s="17">
        <v>20</v>
      </c>
      <c r="I82" s="30">
        <f t="shared" si="61"/>
        <v>2.8528571428571401</v>
      </c>
      <c r="J82" s="22">
        <f t="shared" si="62"/>
        <v>3.3728571428571401</v>
      </c>
      <c r="K82" s="22">
        <f t="shared" si="63"/>
        <v>4.04285714285714</v>
      </c>
      <c r="L82" s="22">
        <f t="shared" si="47"/>
        <v>5.7057142857142802</v>
      </c>
      <c r="M82" s="22">
        <f t="shared" si="48"/>
        <v>7.13214285714285</v>
      </c>
      <c r="N82" s="22">
        <f t="shared" si="49"/>
        <v>8.5585714285714207</v>
      </c>
      <c r="O82" s="22">
        <f t="shared" si="50"/>
        <v>9.9849999999999905</v>
      </c>
      <c r="P82" s="30">
        <f t="shared" si="64"/>
        <v>17.117142857142841</v>
      </c>
      <c r="Q82" s="30">
        <f t="shared" si="65"/>
        <v>19.256785714285698</v>
      </c>
      <c r="R82" s="30">
        <f t="shared" si="66"/>
        <v>20.326607142857121</v>
      </c>
      <c r="S82" s="30">
        <f t="shared" si="67"/>
        <v>19.969999999999978</v>
      </c>
      <c r="T82" s="30">
        <f t="shared" si="68"/>
        <v>21.396428571428551</v>
      </c>
      <c r="U82" s="30">
        <f t="shared" si="81"/>
        <v>28.5285714285714</v>
      </c>
      <c r="V82" s="30">
        <f t="shared" si="79"/>
        <v>57.0571428571428</v>
      </c>
      <c r="W82" s="22"/>
      <c r="X82" s="23">
        <f t="shared" si="53"/>
        <v>39939.999999999964</v>
      </c>
      <c r="Y82" s="23"/>
      <c r="Z82" s="23">
        <f t="shared" si="54"/>
        <v>68468.571428571362</v>
      </c>
      <c r="AA82" s="23">
        <f t="shared" si="78"/>
        <v>85585.714285714203</v>
      </c>
      <c r="AB82" s="23">
        <f t="shared" si="78"/>
        <v>114114.28571428559</v>
      </c>
      <c r="AE82" s="36">
        <f t="shared" si="56"/>
        <v>3.4528571428571402</v>
      </c>
      <c r="AF82" s="37">
        <f t="shared" si="70"/>
        <v>3352.7242857142833</v>
      </c>
      <c r="AG82" s="28">
        <f t="shared" si="57"/>
        <v>16620.745714285698</v>
      </c>
      <c r="AH82" s="28">
        <f t="shared" si="71"/>
        <v>20775.932142857124</v>
      </c>
      <c r="AI82" s="28">
        <f t="shared" si="71"/>
        <v>27701.242857142828</v>
      </c>
      <c r="AJ82" s="28">
        <f t="shared" si="71"/>
        <v>55402.485714285656</v>
      </c>
      <c r="AK82" s="38"/>
      <c r="AL82" s="39">
        <v>3.4528571428571402</v>
      </c>
      <c r="AM82" s="40">
        <f t="shared" si="72"/>
        <v>214.07714285714269</v>
      </c>
      <c r="AN82" s="28">
        <f t="shared" si="58"/>
        <v>1061.2628571428561</v>
      </c>
      <c r="AO82" s="28">
        <f t="shared" si="73"/>
        <v>1326.5785714285701</v>
      </c>
      <c r="AP82" s="28">
        <f t="shared" si="73"/>
        <v>1768.7714285714269</v>
      </c>
      <c r="AQ82" s="28">
        <f t="shared" si="73"/>
        <v>3537.5428571428538</v>
      </c>
      <c r="AS82" s="28">
        <f t="shared" si="59"/>
        <v>131.80199999999988</v>
      </c>
      <c r="AT82" s="28">
        <f t="shared" si="74"/>
        <v>164.75249999999986</v>
      </c>
      <c r="AU82" s="28">
        <f t="shared" si="74"/>
        <v>219.66999999999979</v>
      </c>
      <c r="AV82" s="28">
        <f t="shared" si="74"/>
        <v>439.33999999999958</v>
      </c>
      <c r="AX82" s="31">
        <f t="shared" si="60"/>
        <v>8558.5714285714203</v>
      </c>
      <c r="AY82" s="31">
        <f t="shared" si="75"/>
        <v>10698.214285714275</v>
      </c>
      <c r="AZ82" s="31">
        <f t="shared" si="75"/>
        <v>14264.285714285699</v>
      </c>
      <c r="BA82" s="31">
        <f t="shared" si="75"/>
        <v>28528.571428571398</v>
      </c>
      <c r="BD82" s="55">
        <f t="shared" si="82"/>
        <v>73.817678571428502</v>
      </c>
      <c r="BE82" s="55">
        <f t="shared" si="83"/>
        <v>98.423571428571336</v>
      </c>
      <c r="BF82" s="55">
        <f t="shared" si="84"/>
        <v>196.84714285714267</v>
      </c>
      <c r="BI82" s="55">
        <f t="shared" si="85"/>
        <v>384.0658928571425</v>
      </c>
      <c r="BJ82" s="55">
        <f t="shared" si="86"/>
        <v>512.08785714285659</v>
      </c>
      <c r="BK82" s="55">
        <f t="shared" si="87"/>
        <v>1024.1757142857132</v>
      </c>
      <c r="BN82" s="56">
        <f t="shared" si="88"/>
        <v>138028.36071428558</v>
      </c>
      <c r="BO82" s="56">
        <f t="shared" si="89"/>
        <v>184037.81428571409</v>
      </c>
      <c r="BP82" s="56">
        <f t="shared" si="90"/>
        <v>368075.62857142818</v>
      </c>
      <c r="BR82" s="54"/>
    </row>
    <row r="83" spans="1:70" x14ac:dyDescent="0.2">
      <c r="A83" s="14">
        <v>43858</v>
      </c>
      <c r="B83" s="51" t="s">
        <v>142</v>
      </c>
      <c r="C83" s="52" t="s">
        <v>19</v>
      </c>
      <c r="D83" s="17" t="s">
        <v>12</v>
      </c>
      <c r="E83" s="18"/>
      <c r="F83" s="25">
        <v>1.0900000000000001</v>
      </c>
      <c r="G83" s="17"/>
      <c r="H83" s="17"/>
      <c r="I83" s="17">
        <f t="shared" si="61"/>
        <v>1.77</v>
      </c>
      <c r="J83" s="22">
        <f t="shared" ref="J83:J92" si="91">F83+1.2</f>
        <v>2.29</v>
      </c>
      <c r="K83" s="22">
        <f t="shared" ref="K83:K92" si="92">F83+1.87</f>
        <v>2.96</v>
      </c>
      <c r="L83" s="22">
        <f t="shared" ref="L83:L92" si="93">I83*2</f>
        <v>3.54</v>
      </c>
      <c r="M83" s="22">
        <f t="shared" ref="M83:M92" si="94">I83*2.5</f>
        <v>4.4249999999999998</v>
      </c>
      <c r="N83" s="22">
        <f t="shared" ref="N83:N92" si="95">I83*3</f>
        <v>5.3100000000000005</v>
      </c>
      <c r="O83" s="22">
        <f t="shared" ref="O83:O92" si="96">I83*3.5</f>
        <v>6.1950000000000003</v>
      </c>
      <c r="P83" s="30">
        <f t="shared" ref="P83:P92" si="97">T83*0.8</f>
        <v>8.4960000000000004</v>
      </c>
      <c r="Q83" s="30">
        <f t="shared" ref="Q83:Q92" si="98">T83*0.9</f>
        <v>9.5580000000000016</v>
      </c>
      <c r="R83" s="30">
        <f t="shared" ref="R83:R92" si="99">T83*0.95</f>
        <v>10.089</v>
      </c>
      <c r="S83" s="30">
        <f t="shared" ref="S83:S92" si="100">U83*0.7</f>
        <v>9.911999999999999</v>
      </c>
      <c r="T83" s="30">
        <f t="shared" ref="T83:T92" si="101">U83*0.75</f>
        <v>10.620000000000001</v>
      </c>
      <c r="U83" s="30">
        <f t="shared" ref="U83:U92" si="102">I83*8</f>
        <v>14.16</v>
      </c>
      <c r="V83" s="30">
        <f t="shared" ref="V83:V92" si="103">I83*17</f>
        <v>30.09</v>
      </c>
      <c r="W83" s="22" t="s">
        <v>44</v>
      </c>
      <c r="X83" s="23">
        <f t="shared" ref="X83:X92" si="104">O83*4000</f>
        <v>24780</v>
      </c>
      <c r="Y83" s="23"/>
      <c r="Z83" s="23">
        <f t="shared" ref="Z83:Z92" si="105">P83*4000</f>
        <v>33984</v>
      </c>
      <c r="AA83" s="23">
        <f t="shared" ref="AA83:AA92" si="106">T83*4000</f>
        <v>42480.000000000007</v>
      </c>
      <c r="AB83" s="23">
        <f t="shared" ref="AB83:AB92" si="107">U83*4000</f>
        <v>56640</v>
      </c>
      <c r="AC83" s="1" t="s">
        <v>125</v>
      </c>
      <c r="AE83" s="36">
        <f t="shared" ref="AE83:AE92" si="108">I83+0.6</f>
        <v>2.37</v>
      </c>
      <c r="AF83" s="37">
        <f t="shared" ref="AF83:AF92" si="109">AE83*971</f>
        <v>2301.27</v>
      </c>
      <c r="AG83" s="28">
        <f t="shared" ref="AG83:AG92" si="110">P83*971</f>
        <v>8249.616</v>
      </c>
      <c r="AH83" s="28">
        <f t="shared" ref="AH83:AH92" si="111">T83*971</f>
        <v>10312.02</v>
      </c>
      <c r="AI83" s="28">
        <f t="shared" ref="AI83:AI92" si="112">U83*971</f>
        <v>13749.36</v>
      </c>
      <c r="AJ83" s="28">
        <f t="shared" ref="AJ83:AJ92" si="113">V83*971</f>
        <v>29217.39</v>
      </c>
      <c r="AK83" s="38"/>
      <c r="AL83" s="39">
        <v>-5.94</v>
      </c>
      <c r="AM83" s="40">
        <f t="shared" ref="AM83:AM92" si="114">AL83*62</f>
        <v>-368.28000000000003</v>
      </c>
      <c r="AN83" s="28">
        <f t="shared" ref="AN83:AN92" si="115">P83*62</f>
        <v>526.75200000000007</v>
      </c>
      <c r="AO83" s="28">
        <f t="shared" ref="AO83:AO92" si="116">T83*62</f>
        <v>658.44</v>
      </c>
      <c r="AP83" s="28">
        <f t="shared" ref="AP83:AP92" si="117">U83*62</f>
        <v>877.92</v>
      </c>
      <c r="AQ83" s="28">
        <f t="shared" ref="AQ83:AQ92" si="118">V83*62</f>
        <v>1865.58</v>
      </c>
      <c r="AS83" s="28">
        <f t="shared" ref="AS83:AS92" si="119">P83*7.7</f>
        <v>65.419200000000004</v>
      </c>
      <c r="AT83" s="28">
        <f t="shared" ref="AT83:AT92" si="120">T83*7.7</f>
        <v>81.774000000000015</v>
      </c>
      <c r="AU83" s="28">
        <f t="shared" ref="AU83:AU92" si="121">U83*7.7</f>
        <v>109.03200000000001</v>
      </c>
      <c r="AV83" s="28">
        <f t="shared" ref="AV83:AV92" si="122">V83*7.7</f>
        <v>231.69300000000001</v>
      </c>
      <c r="AX83" s="31">
        <f t="shared" ref="AX83:AX92" si="123">P83*500</f>
        <v>4248</v>
      </c>
      <c r="AY83" s="31">
        <f t="shared" ref="AY83:AY92" si="124">T83*500</f>
        <v>5310.0000000000009</v>
      </c>
      <c r="AZ83" s="31">
        <f t="shared" ref="AZ83:AZ92" si="125">U83*500</f>
        <v>7080</v>
      </c>
      <c r="BA83" s="31">
        <f t="shared" ref="BA83:BA92" si="126">V83*500</f>
        <v>15045</v>
      </c>
      <c r="BD83" s="55">
        <f t="shared" si="82"/>
        <v>36.639000000000003</v>
      </c>
      <c r="BE83" s="55">
        <f t="shared" si="83"/>
        <v>48.852000000000004</v>
      </c>
      <c r="BF83" s="55">
        <f t="shared" si="84"/>
        <v>103.8105</v>
      </c>
      <c r="BI83" s="55">
        <f t="shared" si="85"/>
        <v>190.62900000000002</v>
      </c>
      <c r="BJ83" s="55">
        <f t="shared" si="86"/>
        <v>254.172</v>
      </c>
      <c r="BK83" s="55">
        <f t="shared" si="87"/>
        <v>540.1155</v>
      </c>
      <c r="BN83" s="56">
        <f t="shared" si="88"/>
        <v>68509.62000000001</v>
      </c>
      <c r="BO83" s="56">
        <f t="shared" si="89"/>
        <v>91346.16</v>
      </c>
      <c r="BP83" s="56">
        <f t="shared" si="90"/>
        <v>194110.59</v>
      </c>
      <c r="BR83" s="54"/>
    </row>
    <row r="84" spans="1:70" x14ac:dyDescent="0.2">
      <c r="A84" s="14">
        <v>43862</v>
      </c>
      <c r="B84" s="51" t="s">
        <v>143</v>
      </c>
      <c r="C84" s="52" t="s">
        <v>4</v>
      </c>
      <c r="D84" s="52" t="s">
        <v>10</v>
      </c>
      <c r="E84" s="18"/>
      <c r="F84" s="25">
        <v>1.76</v>
      </c>
      <c r="G84" s="17"/>
      <c r="H84" s="17"/>
      <c r="I84" s="17">
        <f t="shared" si="61"/>
        <v>2.44</v>
      </c>
      <c r="J84" s="22">
        <f t="shared" si="91"/>
        <v>2.96</v>
      </c>
      <c r="K84" s="22">
        <f t="shared" si="92"/>
        <v>3.63</v>
      </c>
      <c r="L84" s="22">
        <f t="shared" si="93"/>
        <v>4.88</v>
      </c>
      <c r="M84" s="22">
        <f t="shared" si="94"/>
        <v>6.1</v>
      </c>
      <c r="N84" s="22">
        <f t="shared" si="95"/>
        <v>7.32</v>
      </c>
      <c r="O84" s="22">
        <f t="shared" si="96"/>
        <v>8.5399999999999991</v>
      </c>
      <c r="P84" s="30">
        <f t="shared" si="97"/>
        <v>11.712000000000002</v>
      </c>
      <c r="Q84" s="30">
        <f t="shared" si="98"/>
        <v>13.176</v>
      </c>
      <c r="R84" s="30">
        <f t="shared" si="99"/>
        <v>13.907999999999999</v>
      </c>
      <c r="S84" s="30">
        <f t="shared" si="100"/>
        <v>13.664</v>
      </c>
      <c r="T84" s="30">
        <f t="shared" si="101"/>
        <v>14.64</v>
      </c>
      <c r="U84" s="30">
        <f t="shared" si="102"/>
        <v>19.52</v>
      </c>
      <c r="V84" s="30">
        <f t="shared" si="103"/>
        <v>41.48</v>
      </c>
      <c r="W84" s="22" t="s">
        <v>126</v>
      </c>
      <c r="X84" s="23">
        <f t="shared" si="104"/>
        <v>34160</v>
      </c>
      <c r="Y84" s="23"/>
      <c r="Z84" s="23">
        <f t="shared" si="105"/>
        <v>46848.000000000007</v>
      </c>
      <c r="AA84" s="23">
        <f t="shared" si="106"/>
        <v>58560</v>
      </c>
      <c r="AB84" s="23">
        <f t="shared" si="107"/>
        <v>78080</v>
      </c>
      <c r="AC84" s="1" t="s">
        <v>127</v>
      </c>
      <c r="AE84" s="36">
        <f t="shared" si="108"/>
        <v>3.04</v>
      </c>
      <c r="AF84" s="37">
        <f t="shared" si="109"/>
        <v>2951.84</v>
      </c>
      <c r="AG84" s="28">
        <f t="shared" si="110"/>
        <v>11372.352000000001</v>
      </c>
      <c r="AH84" s="28">
        <f t="shared" si="111"/>
        <v>14215.44</v>
      </c>
      <c r="AI84" s="28">
        <f t="shared" si="112"/>
        <v>18953.919999999998</v>
      </c>
      <c r="AJ84" s="28">
        <f t="shared" si="113"/>
        <v>40277.079999999994</v>
      </c>
      <c r="AK84" s="38"/>
      <c r="AL84" s="39">
        <v>-4.9400000000000004</v>
      </c>
      <c r="AM84" s="40">
        <f t="shared" si="114"/>
        <v>-306.28000000000003</v>
      </c>
      <c r="AN84" s="28">
        <f t="shared" si="115"/>
        <v>726.14400000000012</v>
      </c>
      <c r="AO84" s="28">
        <f t="shared" si="116"/>
        <v>907.68000000000006</v>
      </c>
      <c r="AP84" s="28">
        <f t="shared" si="117"/>
        <v>1210.24</v>
      </c>
      <c r="AQ84" s="28">
        <f t="shared" si="118"/>
        <v>2571.7599999999998</v>
      </c>
      <c r="AS84" s="28">
        <f t="shared" si="119"/>
        <v>90.182400000000015</v>
      </c>
      <c r="AT84" s="28">
        <f t="shared" si="120"/>
        <v>112.72800000000001</v>
      </c>
      <c r="AU84" s="28">
        <f t="shared" si="121"/>
        <v>150.304</v>
      </c>
      <c r="AV84" s="28">
        <f t="shared" si="122"/>
        <v>319.39599999999996</v>
      </c>
      <c r="AX84" s="31">
        <f t="shared" si="123"/>
        <v>5856.0000000000009</v>
      </c>
      <c r="AY84" s="31">
        <f t="shared" si="124"/>
        <v>7320</v>
      </c>
      <c r="AZ84" s="31">
        <f t="shared" si="125"/>
        <v>9760</v>
      </c>
      <c r="BA84" s="31">
        <f t="shared" si="126"/>
        <v>20740</v>
      </c>
      <c r="BD84" s="55">
        <f t="shared" si="82"/>
        <v>50.508000000000003</v>
      </c>
      <c r="BE84" s="55">
        <f t="shared" si="83"/>
        <v>67.344000000000008</v>
      </c>
      <c r="BF84" s="55">
        <f t="shared" si="84"/>
        <v>143.10599999999999</v>
      </c>
      <c r="BI84" s="55">
        <f t="shared" si="85"/>
        <v>262.78800000000001</v>
      </c>
      <c r="BJ84" s="55">
        <f t="shared" si="86"/>
        <v>350.38399999999996</v>
      </c>
      <c r="BK84" s="55">
        <f t="shared" si="87"/>
        <v>744.56599999999992</v>
      </c>
      <c r="BN84" s="56">
        <f t="shared" si="88"/>
        <v>94442.64</v>
      </c>
      <c r="BO84" s="56">
        <f t="shared" si="89"/>
        <v>125923.52</v>
      </c>
      <c r="BP84" s="56">
        <f t="shared" si="90"/>
        <v>267587.48</v>
      </c>
      <c r="BR84" s="54"/>
    </row>
    <row r="85" spans="1:70" x14ac:dyDescent="0.2">
      <c r="A85" s="14">
        <v>43900</v>
      </c>
      <c r="B85" s="51" t="s">
        <v>141</v>
      </c>
      <c r="C85" s="52" t="s">
        <v>15</v>
      </c>
      <c r="D85" s="52" t="s">
        <v>10</v>
      </c>
      <c r="E85" s="18"/>
      <c r="F85" s="25">
        <v>5.65</v>
      </c>
      <c r="G85" s="17"/>
      <c r="H85" s="17"/>
      <c r="I85" s="17">
        <f t="shared" si="61"/>
        <v>6.33</v>
      </c>
      <c r="J85" s="22">
        <f t="shared" si="91"/>
        <v>6.8500000000000005</v>
      </c>
      <c r="K85" s="22">
        <f t="shared" si="92"/>
        <v>7.5200000000000005</v>
      </c>
      <c r="L85" s="22">
        <f t="shared" si="93"/>
        <v>12.66</v>
      </c>
      <c r="M85" s="22">
        <f t="shared" si="94"/>
        <v>15.824999999999999</v>
      </c>
      <c r="N85" s="22">
        <f t="shared" si="95"/>
        <v>18.990000000000002</v>
      </c>
      <c r="O85" s="22">
        <f t="shared" si="96"/>
        <v>22.155000000000001</v>
      </c>
      <c r="P85" s="30">
        <f t="shared" si="97"/>
        <v>30.384000000000004</v>
      </c>
      <c r="Q85" s="30">
        <f t="shared" si="98"/>
        <v>34.182000000000002</v>
      </c>
      <c r="R85" s="30">
        <f t="shared" si="99"/>
        <v>36.081000000000003</v>
      </c>
      <c r="S85" s="30">
        <f t="shared" si="100"/>
        <v>35.448</v>
      </c>
      <c r="T85" s="30">
        <f t="shared" si="101"/>
        <v>37.980000000000004</v>
      </c>
      <c r="U85" s="30">
        <f t="shared" si="102"/>
        <v>50.64</v>
      </c>
      <c r="V85" s="30">
        <f t="shared" si="103"/>
        <v>107.61</v>
      </c>
      <c r="W85" s="22" t="s">
        <v>45</v>
      </c>
      <c r="X85" s="23">
        <f t="shared" si="104"/>
        <v>88620</v>
      </c>
      <c r="Y85" s="23"/>
      <c r="Z85" s="23">
        <f t="shared" si="105"/>
        <v>121536.00000000001</v>
      </c>
      <c r="AA85" s="23">
        <f t="shared" si="106"/>
        <v>151920.00000000003</v>
      </c>
      <c r="AB85" s="23">
        <f t="shared" si="107"/>
        <v>202560</v>
      </c>
      <c r="AC85" s="1" t="s">
        <v>128</v>
      </c>
      <c r="AE85" s="36">
        <f t="shared" si="108"/>
        <v>6.93</v>
      </c>
      <c r="AF85" s="37">
        <f t="shared" si="109"/>
        <v>6729.03</v>
      </c>
      <c r="AG85" s="28">
        <f t="shared" si="110"/>
        <v>29502.864000000005</v>
      </c>
      <c r="AH85" s="28">
        <f t="shared" si="111"/>
        <v>36878.58</v>
      </c>
      <c r="AI85" s="28">
        <f t="shared" si="112"/>
        <v>49171.44</v>
      </c>
      <c r="AJ85" s="28">
        <f t="shared" si="113"/>
        <v>104489.31</v>
      </c>
      <c r="AK85" s="38"/>
      <c r="AL85" s="39">
        <v>-3.94</v>
      </c>
      <c r="AM85" s="40">
        <f t="shared" si="114"/>
        <v>-244.28</v>
      </c>
      <c r="AN85" s="28">
        <f t="shared" si="115"/>
        <v>1883.8080000000002</v>
      </c>
      <c r="AO85" s="28">
        <f t="shared" si="116"/>
        <v>2354.7600000000002</v>
      </c>
      <c r="AP85" s="28">
        <f t="shared" si="117"/>
        <v>3139.68</v>
      </c>
      <c r="AQ85" s="28">
        <f t="shared" si="118"/>
        <v>6671.82</v>
      </c>
      <c r="AS85" s="28">
        <f t="shared" si="119"/>
        <v>233.95680000000004</v>
      </c>
      <c r="AT85" s="28">
        <f t="shared" si="120"/>
        <v>292.44600000000003</v>
      </c>
      <c r="AU85" s="28">
        <f t="shared" si="121"/>
        <v>389.928</v>
      </c>
      <c r="AV85" s="28">
        <f t="shared" si="122"/>
        <v>828.59699999999998</v>
      </c>
      <c r="AX85" s="31">
        <f t="shared" si="123"/>
        <v>15192.000000000002</v>
      </c>
      <c r="AY85" s="31">
        <f t="shared" si="124"/>
        <v>18990.000000000004</v>
      </c>
      <c r="AZ85" s="31">
        <f t="shared" si="125"/>
        <v>25320</v>
      </c>
      <c r="BA85" s="31">
        <f t="shared" si="126"/>
        <v>53805</v>
      </c>
      <c r="BD85" s="55">
        <f t="shared" si="82"/>
        <v>131.03100000000003</v>
      </c>
      <c r="BE85" s="55">
        <f t="shared" si="83"/>
        <v>174.708</v>
      </c>
      <c r="BF85" s="55">
        <f t="shared" si="84"/>
        <v>371.25450000000001</v>
      </c>
      <c r="BI85" s="55">
        <f t="shared" si="85"/>
        <v>681.7410000000001</v>
      </c>
      <c r="BJ85" s="55">
        <f t="shared" si="86"/>
        <v>908.98799999999994</v>
      </c>
      <c r="BK85" s="55">
        <f t="shared" si="87"/>
        <v>1931.5994999999998</v>
      </c>
      <c r="BN85" s="56">
        <f t="shared" si="88"/>
        <v>245008.98000000004</v>
      </c>
      <c r="BO85" s="56">
        <f t="shared" si="89"/>
        <v>326678.64</v>
      </c>
      <c r="BP85" s="56">
        <f t="shared" si="90"/>
        <v>694192.11</v>
      </c>
      <c r="BR85" s="54"/>
    </row>
    <row r="86" spans="1:70" x14ac:dyDescent="0.2">
      <c r="A86" s="14">
        <v>44020</v>
      </c>
      <c r="B86" s="51" t="s">
        <v>225</v>
      </c>
      <c r="C86" s="17" t="s">
        <v>11</v>
      </c>
      <c r="D86" s="17" t="s">
        <v>12</v>
      </c>
      <c r="E86" s="18">
        <v>0.74285714285714299</v>
      </c>
      <c r="F86" s="25">
        <v>1.45714285714286</v>
      </c>
      <c r="G86" s="17"/>
      <c r="H86" s="11">
        <v>10</v>
      </c>
      <c r="I86" s="30">
        <f t="shared" si="61"/>
        <v>2.1371428571428601</v>
      </c>
      <c r="J86" s="22">
        <f t="shared" si="91"/>
        <v>2.6571428571428601</v>
      </c>
      <c r="K86" s="22">
        <f t="shared" si="92"/>
        <v>3.3271428571428601</v>
      </c>
      <c r="L86" s="22">
        <f t="shared" si="93"/>
        <v>4.2742857142857202</v>
      </c>
      <c r="M86" s="22">
        <f t="shared" si="94"/>
        <v>5.3428571428571505</v>
      </c>
      <c r="N86" s="22">
        <f t="shared" si="95"/>
        <v>6.4114285714285799</v>
      </c>
      <c r="O86" s="22">
        <f t="shared" si="96"/>
        <v>7.4800000000000102</v>
      </c>
      <c r="P86" s="30">
        <f t="shared" si="97"/>
        <v>10.258285714285728</v>
      </c>
      <c r="Q86" s="30">
        <f t="shared" si="98"/>
        <v>11.540571428571445</v>
      </c>
      <c r="R86" s="30">
        <f t="shared" si="99"/>
        <v>12.181714285714301</v>
      </c>
      <c r="S86" s="30">
        <f t="shared" si="100"/>
        <v>11.968000000000016</v>
      </c>
      <c r="T86" s="30">
        <f t="shared" si="101"/>
        <v>12.82285714285716</v>
      </c>
      <c r="U86" s="30">
        <f t="shared" si="102"/>
        <v>17.097142857142881</v>
      </c>
      <c r="V86" s="30">
        <f t="shared" si="103"/>
        <v>36.331428571428624</v>
      </c>
      <c r="W86" s="22" t="s">
        <v>129</v>
      </c>
      <c r="X86" s="23">
        <f t="shared" si="104"/>
        <v>29920.00000000004</v>
      </c>
      <c r="Y86" s="23"/>
      <c r="Z86" s="23">
        <f t="shared" si="105"/>
        <v>41033.142857142913</v>
      </c>
      <c r="AA86" s="23">
        <f t="shared" si="106"/>
        <v>51291.428571428638</v>
      </c>
      <c r="AB86" s="23">
        <f t="shared" si="107"/>
        <v>68388.571428571522</v>
      </c>
      <c r="AC86" s="1" t="s">
        <v>130</v>
      </c>
      <c r="AE86" s="36">
        <f t="shared" si="108"/>
        <v>2.7371428571428602</v>
      </c>
      <c r="AF86" s="37">
        <f t="shared" si="109"/>
        <v>2657.7657142857174</v>
      </c>
      <c r="AG86" s="28">
        <f t="shared" si="110"/>
        <v>9960.7954285714422</v>
      </c>
      <c r="AH86" s="28">
        <f t="shared" si="111"/>
        <v>12450.994285714301</v>
      </c>
      <c r="AI86" s="28">
        <f t="shared" si="112"/>
        <v>16601.325714285736</v>
      </c>
      <c r="AJ86" s="28">
        <f t="shared" si="113"/>
        <v>35277.817142857195</v>
      </c>
      <c r="AK86" s="38"/>
      <c r="AL86" s="39">
        <v>-2.94</v>
      </c>
      <c r="AM86" s="40">
        <f t="shared" si="114"/>
        <v>-182.28</v>
      </c>
      <c r="AN86" s="28">
        <f t="shared" si="115"/>
        <v>636.0137142857152</v>
      </c>
      <c r="AO86" s="28">
        <f t="shared" si="116"/>
        <v>795.01714285714388</v>
      </c>
      <c r="AP86" s="28">
        <f t="shared" si="117"/>
        <v>1060.0228571428586</v>
      </c>
      <c r="AQ86" s="28">
        <f t="shared" si="118"/>
        <v>2252.5485714285746</v>
      </c>
      <c r="AS86" s="28">
        <f t="shared" si="119"/>
        <v>78.988800000000111</v>
      </c>
      <c r="AT86" s="28">
        <f t="shared" si="120"/>
        <v>98.736000000000132</v>
      </c>
      <c r="AU86" s="28">
        <f t="shared" si="121"/>
        <v>131.6480000000002</v>
      </c>
      <c r="AV86" s="28">
        <f t="shared" si="122"/>
        <v>279.75200000000041</v>
      </c>
      <c r="AX86" s="31">
        <f t="shared" si="123"/>
        <v>5129.1428571428642</v>
      </c>
      <c r="AY86" s="31">
        <f t="shared" si="124"/>
        <v>6411.4285714285797</v>
      </c>
      <c r="AZ86" s="31">
        <f t="shared" si="125"/>
        <v>8548.5714285714403</v>
      </c>
      <c r="BA86" s="31">
        <f t="shared" si="126"/>
        <v>18165.714285714312</v>
      </c>
      <c r="BD86" s="55">
        <f t="shared" si="82"/>
        <v>44.238857142857206</v>
      </c>
      <c r="BE86" s="55">
        <f t="shared" si="83"/>
        <v>58.985142857142939</v>
      </c>
      <c r="BF86" s="55">
        <f t="shared" si="84"/>
        <v>125.34342857142876</v>
      </c>
      <c r="BI86" s="55">
        <f t="shared" si="85"/>
        <v>230.17028571428602</v>
      </c>
      <c r="BJ86" s="55">
        <f t="shared" si="86"/>
        <v>306.89371428571468</v>
      </c>
      <c r="BK86" s="55">
        <f t="shared" si="87"/>
        <v>652.14914285714383</v>
      </c>
      <c r="BN86" s="56">
        <f t="shared" si="88"/>
        <v>82720.251428571544</v>
      </c>
      <c r="BO86" s="56">
        <f t="shared" si="89"/>
        <v>110293.66857142873</v>
      </c>
      <c r="BP86" s="56">
        <f t="shared" si="90"/>
        <v>234374.04571428607</v>
      </c>
      <c r="BR86" s="54"/>
    </row>
    <row r="87" spans="1:70" x14ac:dyDescent="0.2">
      <c r="A87" s="14">
        <v>44060</v>
      </c>
      <c r="B87" s="51" t="s">
        <v>226</v>
      </c>
      <c r="C87" s="17" t="s">
        <v>11</v>
      </c>
      <c r="D87" s="17" t="s">
        <v>10</v>
      </c>
      <c r="E87" s="18">
        <v>0.85428571428571398</v>
      </c>
      <c r="F87" s="25">
        <v>1.9257142857142899</v>
      </c>
      <c r="G87" s="17"/>
      <c r="H87" s="17">
        <v>20</v>
      </c>
      <c r="I87" s="30">
        <f t="shared" si="61"/>
        <v>2.6057142857142899</v>
      </c>
      <c r="J87" s="22">
        <f t="shared" si="91"/>
        <v>3.1257142857142899</v>
      </c>
      <c r="K87" s="22">
        <f t="shared" si="92"/>
        <v>3.7957142857142898</v>
      </c>
      <c r="L87" s="22">
        <f t="shared" si="93"/>
        <v>5.2114285714285797</v>
      </c>
      <c r="M87" s="22">
        <f t="shared" si="94"/>
        <v>6.5142857142857249</v>
      </c>
      <c r="N87" s="22">
        <f t="shared" si="95"/>
        <v>7.8171428571428692</v>
      </c>
      <c r="O87" s="22">
        <f t="shared" si="96"/>
        <v>9.1200000000000152</v>
      </c>
      <c r="P87" s="30">
        <f t="shared" si="97"/>
        <v>12.507428571428591</v>
      </c>
      <c r="Q87" s="30">
        <f t="shared" si="98"/>
        <v>14.070857142857164</v>
      </c>
      <c r="R87" s="30">
        <f t="shared" si="99"/>
        <v>14.852571428571451</v>
      </c>
      <c r="S87" s="30">
        <f t="shared" si="100"/>
        <v>14.592000000000022</v>
      </c>
      <c r="T87" s="30">
        <f t="shared" si="101"/>
        <v>15.634285714285738</v>
      </c>
      <c r="U87" s="30">
        <f t="shared" si="102"/>
        <v>20.845714285714319</v>
      </c>
      <c r="V87" s="30">
        <f t="shared" si="103"/>
        <v>44.29714285714293</v>
      </c>
      <c r="W87" s="22" t="s">
        <v>131</v>
      </c>
      <c r="X87" s="23">
        <f t="shared" si="104"/>
        <v>36480.000000000058</v>
      </c>
      <c r="Y87" s="23"/>
      <c r="Z87" s="23">
        <f t="shared" si="105"/>
        <v>50029.714285714363</v>
      </c>
      <c r="AA87" s="23">
        <f t="shared" si="106"/>
        <v>62537.142857142957</v>
      </c>
      <c r="AB87" s="23">
        <f t="shared" si="107"/>
        <v>83382.857142857276</v>
      </c>
      <c r="AC87" s="1" t="s">
        <v>128</v>
      </c>
      <c r="AE87" s="36">
        <f t="shared" si="108"/>
        <v>3.20571428571429</v>
      </c>
      <c r="AF87" s="37">
        <f t="shared" si="109"/>
        <v>3112.7485714285754</v>
      </c>
      <c r="AG87" s="28">
        <f t="shared" si="110"/>
        <v>12144.713142857161</v>
      </c>
      <c r="AH87" s="28">
        <f t="shared" si="111"/>
        <v>15180.891428571453</v>
      </c>
      <c r="AI87" s="28">
        <f t="shared" si="112"/>
        <v>20241.188571428604</v>
      </c>
      <c r="AJ87" s="28">
        <f t="shared" si="113"/>
        <v>43012.525714285788</v>
      </c>
      <c r="AK87" s="38"/>
      <c r="AL87" s="39">
        <v>-1.94</v>
      </c>
      <c r="AM87" s="40">
        <f t="shared" si="114"/>
        <v>-120.28</v>
      </c>
      <c r="AN87" s="28">
        <f t="shared" si="115"/>
        <v>775.46057142857262</v>
      </c>
      <c r="AO87" s="28">
        <f t="shared" si="116"/>
        <v>969.32571428571578</v>
      </c>
      <c r="AP87" s="28">
        <f t="shared" si="117"/>
        <v>1292.4342857142879</v>
      </c>
      <c r="AQ87" s="28">
        <f t="shared" si="118"/>
        <v>2746.4228571428616</v>
      </c>
      <c r="AS87" s="28">
        <f t="shared" si="119"/>
        <v>96.307200000000151</v>
      </c>
      <c r="AT87" s="28">
        <f t="shared" si="120"/>
        <v>120.38400000000019</v>
      </c>
      <c r="AU87" s="28">
        <f t="shared" si="121"/>
        <v>160.51200000000026</v>
      </c>
      <c r="AV87" s="28">
        <f t="shared" si="122"/>
        <v>341.08800000000059</v>
      </c>
      <c r="AX87" s="31">
        <f t="shared" si="123"/>
        <v>6253.7142857142953</v>
      </c>
      <c r="AY87" s="31">
        <f t="shared" si="124"/>
        <v>7817.1428571428696</v>
      </c>
      <c r="AZ87" s="31">
        <f t="shared" si="125"/>
        <v>10422.857142857159</v>
      </c>
      <c r="BA87" s="31">
        <f t="shared" si="126"/>
        <v>22148.571428571464</v>
      </c>
      <c r="BD87" s="55">
        <f t="shared" si="82"/>
        <v>53.938285714285797</v>
      </c>
      <c r="BE87" s="55">
        <f t="shared" si="83"/>
        <v>71.91771428571441</v>
      </c>
      <c r="BF87" s="55">
        <f t="shared" si="84"/>
        <v>152.82514285714311</v>
      </c>
      <c r="BI87" s="55">
        <f t="shared" si="85"/>
        <v>280.63542857142897</v>
      </c>
      <c r="BJ87" s="55">
        <f t="shared" si="86"/>
        <v>374.18057142857202</v>
      </c>
      <c r="BK87" s="55">
        <f t="shared" si="87"/>
        <v>795.13371428571554</v>
      </c>
      <c r="BN87" s="56">
        <f t="shared" si="88"/>
        <v>100856.7771428573</v>
      </c>
      <c r="BO87" s="56">
        <f t="shared" si="89"/>
        <v>134475.70285714307</v>
      </c>
      <c r="BP87" s="56">
        <f t="shared" si="90"/>
        <v>285760.86857142905</v>
      </c>
      <c r="BR87" s="54"/>
    </row>
    <row r="88" spans="1:70" x14ac:dyDescent="0.2">
      <c r="A88" s="14">
        <v>44539</v>
      </c>
      <c r="B88" s="51" t="s">
        <v>227</v>
      </c>
      <c r="C88" s="52" t="s">
        <v>19</v>
      </c>
      <c r="D88" s="17" t="s">
        <v>12</v>
      </c>
      <c r="E88" s="18"/>
      <c r="F88" s="25">
        <v>0.73</v>
      </c>
      <c r="G88" s="17"/>
      <c r="H88" s="17"/>
      <c r="I88" s="17">
        <f t="shared" si="61"/>
        <v>1.4100000000000001</v>
      </c>
      <c r="J88" s="22">
        <f t="shared" si="91"/>
        <v>1.93</v>
      </c>
      <c r="K88" s="22">
        <f t="shared" si="92"/>
        <v>2.6</v>
      </c>
      <c r="L88" s="22">
        <f t="shared" si="93"/>
        <v>2.8200000000000003</v>
      </c>
      <c r="M88" s="22">
        <f t="shared" si="94"/>
        <v>3.5250000000000004</v>
      </c>
      <c r="N88" s="22">
        <f t="shared" si="95"/>
        <v>4.2300000000000004</v>
      </c>
      <c r="O88" s="22">
        <f t="shared" si="96"/>
        <v>4.9350000000000005</v>
      </c>
      <c r="P88" s="30">
        <f t="shared" si="97"/>
        <v>6.7680000000000007</v>
      </c>
      <c r="Q88" s="30">
        <f t="shared" si="98"/>
        <v>7.6140000000000008</v>
      </c>
      <c r="R88" s="30">
        <f t="shared" si="99"/>
        <v>8.0370000000000008</v>
      </c>
      <c r="S88" s="30">
        <f t="shared" si="100"/>
        <v>7.8959999999999999</v>
      </c>
      <c r="T88" s="30">
        <f t="shared" si="101"/>
        <v>8.4600000000000009</v>
      </c>
      <c r="U88" s="30">
        <f t="shared" si="102"/>
        <v>11.280000000000001</v>
      </c>
      <c r="V88" s="30">
        <f t="shared" si="103"/>
        <v>23.970000000000002</v>
      </c>
      <c r="W88" s="22" t="s">
        <v>132</v>
      </c>
      <c r="X88" s="23">
        <f t="shared" si="104"/>
        <v>19740.000000000004</v>
      </c>
      <c r="Y88" s="23"/>
      <c r="Z88" s="23">
        <f t="shared" si="105"/>
        <v>27072.000000000004</v>
      </c>
      <c r="AA88" s="23">
        <f t="shared" si="106"/>
        <v>33840</v>
      </c>
      <c r="AB88" s="23">
        <f t="shared" si="107"/>
        <v>45120.000000000007</v>
      </c>
      <c r="AC88" s="1" t="s">
        <v>127</v>
      </c>
      <c r="AE88" s="36">
        <f t="shared" si="108"/>
        <v>2.0100000000000002</v>
      </c>
      <c r="AF88" s="37">
        <f t="shared" si="109"/>
        <v>1951.7100000000003</v>
      </c>
      <c r="AG88" s="28">
        <f t="shared" si="110"/>
        <v>6571.728000000001</v>
      </c>
      <c r="AH88" s="28">
        <f t="shared" si="111"/>
        <v>8214.6600000000017</v>
      </c>
      <c r="AI88" s="28">
        <f t="shared" si="112"/>
        <v>10952.880000000001</v>
      </c>
      <c r="AJ88" s="28">
        <f t="shared" si="113"/>
        <v>23274.870000000003</v>
      </c>
      <c r="AK88" s="38"/>
      <c r="AL88" s="39">
        <v>-0.94</v>
      </c>
      <c r="AM88" s="40">
        <f t="shared" si="114"/>
        <v>-58.279999999999994</v>
      </c>
      <c r="AN88" s="28">
        <f t="shared" si="115"/>
        <v>419.61600000000004</v>
      </c>
      <c r="AO88" s="28">
        <f t="shared" si="116"/>
        <v>524.5200000000001</v>
      </c>
      <c r="AP88" s="28">
        <f t="shared" si="117"/>
        <v>699.36000000000013</v>
      </c>
      <c r="AQ88" s="28">
        <f t="shared" si="118"/>
        <v>1486.14</v>
      </c>
      <c r="AS88" s="28">
        <f t="shared" si="119"/>
        <v>52.113600000000005</v>
      </c>
      <c r="AT88" s="28">
        <f t="shared" si="120"/>
        <v>65.14200000000001</v>
      </c>
      <c r="AU88" s="28">
        <f t="shared" si="121"/>
        <v>86.856000000000009</v>
      </c>
      <c r="AV88" s="28">
        <f t="shared" si="122"/>
        <v>184.56900000000002</v>
      </c>
      <c r="AX88" s="31">
        <f t="shared" si="123"/>
        <v>3384.0000000000005</v>
      </c>
      <c r="AY88" s="31">
        <f t="shared" si="124"/>
        <v>4230</v>
      </c>
      <c r="AZ88" s="31">
        <f t="shared" si="125"/>
        <v>5640.0000000000009</v>
      </c>
      <c r="BA88" s="31">
        <f t="shared" si="126"/>
        <v>11985.000000000002</v>
      </c>
      <c r="BD88" s="55">
        <f t="shared" si="82"/>
        <v>29.187000000000005</v>
      </c>
      <c r="BE88" s="55">
        <f t="shared" si="83"/>
        <v>38.916000000000004</v>
      </c>
      <c r="BF88" s="55">
        <f t="shared" si="84"/>
        <v>82.696500000000015</v>
      </c>
      <c r="BI88" s="55">
        <f t="shared" si="85"/>
        <v>151.857</v>
      </c>
      <c r="BJ88" s="55">
        <f t="shared" si="86"/>
        <v>202.476</v>
      </c>
      <c r="BK88" s="55">
        <f t="shared" si="87"/>
        <v>430.26150000000001</v>
      </c>
      <c r="BN88" s="56">
        <f t="shared" si="88"/>
        <v>54575.460000000006</v>
      </c>
      <c r="BO88" s="56">
        <f t="shared" si="89"/>
        <v>72767.280000000013</v>
      </c>
      <c r="BP88" s="56">
        <f t="shared" si="90"/>
        <v>154630.47</v>
      </c>
      <c r="BR88" s="54"/>
    </row>
    <row r="89" spans="1:70" x14ac:dyDescent="0.2">
      <c r="A89" s="14">
        <v>44541</v>
      </c>
      <c r="B89" s="51" t="s">
        <v>228</v>
      </c>
      <c r="C89" s="17" t="s">
        <v>11</v>
      </c>
      <c r="D89" s="17" t="s">
        <v>12</v>
      </c>
      <c r="E89" s="18"/>
      <c r="F89" s="25">
        <v>0.8</v>
      </c>
      <c r="G89" s="17"/>
      <c r="H89" s="17"/>
      <c r="I89" s="17">
        <f t="shared" si="61"/>
        <v>1.48</v>
      </c>
      <c r="J89" s="22">
        <f t="shared" si="91"/>
        <v>2</v>
      </c>
      <c r="K89" s="22">
        <f t="shared" si="92"/>
        <v>2.67</v>
      </c>
      <c r="L89" s="22">
        <f t="shared" si="93"/>
        <v>2.96</v>
      </c>
      <c r="M89" s="22">
        <f t="shared" si="94"/>
        <v>3.7</v>
      </c>
      <c r="N89" s="22">
        <f t="shared" si="95"/>
        <v>4.4399999999999995</v>
      </c>
      <c r="O89" s="22">
        <f t="shared" si="96"/>
        <v>5.18</v>
      </c>
      <c r="P89" s="30">
        <f t="shared" si="97"/>
        <v>7.1039999999999992</v>
      </c>
      <c r="Q89" s="30">
        <f t="shared" si="98"/>
        <v>7.9919999999999991</v>
      </c>
      <c r="R89" s="30">
        <f t="shared" si="99"/>
        <v>8.4359999999999982</v>
      </c>
      <c r="S89" s="30">
        <f t="shared" si="100"/>
        <v>8.2880000000000003</v>
      </c>
      <c r="T89" s="30">
        <f t="shared" si="101"/>
        <v>8.879999999999999</v>
      </c>
      <c r="U89" s="30">
        <f t="shared" si="102"/>
        <v>11.84</v>
      </c>
      <c r="V89" s="30">
        <f t="shared" si="103"/>
        <v>25.16</v>
      </c>
      <c r="W89" s="22" t="s">
        <v>133</v>
      </c>
      <c r="X89" s="23">
        <f t="shared" si="104"/>
        <v>20720</v>
      </c>
      <c r="Y89" s="23"/>
      <c r="Z89" s="23">
        <f t="shared" si="105"/>
        <v>28415.999999999996</v>
      </c>
      <c r="AA89" s="23">
        <f t="shared" si="106"/>
        <v>35519.999999999993</v>
      </c>
      <c r="AB89" s="23">
        <f t="shared" si="107"/>
        <v>47360</v>
      </c>
      <c r="AC89" s="1" t="s">
        <v>125</v>
      </c>
      <c r="AE89" s="36">
        <f t="shared" si="108"/>
        <v>2.08</v>
      </c>
      <c r="AF89" s="37">
        <f t="shared" si="109"/>
        <v>2019.68</v>
      </c>
      <c r="AG89" s="28">
        <f t="shared" si="110"/>
        <v>6897.9839999999995</v>
      </c>
      <c r="AH89" s="28">
        <f t="shared" si="111"/>
        <v>8622.48</v>
      </c>
      <c r="AI89" s="28">
        <f t="shared" si="112"/>
        <v>11496.64</v>
      </c>
      <c r="AJ89" s="28">
        <f t="shared" si="113"/>
        <v>24430.36</v>
      </c>
      <c r="AK89" s="38"/>
      <c r="AL89" s="39">
        <v>5.9999999999999602E-2</v>
      </c>
      <c r="AM89" s="40">
        <f t="shared" si="114"/>
        <v>3.7199999999999753</v>
      </c>
      <c r="AN89" s="28">
        <f t="shared" si="115"/>
        <v>440.44799999999998</v>
      </c>
      <c r="AO89" s="28">
        <f t="shared" si="116"/>
        <v>550.55999999999995</v>
      </c>
      <c r="AP89" s="28">
        <f t="shared" si="117"/>
        <v>734.08</v>
      </c>
      <c r="AQ89" s="28">
        <f t="shared" si="118"/>
        <v>1559.92</v>
      </c>
      <c r="AS89" s="28">
        <f t="shared" si="119"/>
        <v>54.700799999999994</v>
      </c>
      <c r="AT89" s="28">
        <f t="shared" si="120"/>
        <v>68.375999999999991</v>
      </c>
      <c r="AU89" s="28">
        <f t="shared" si="121"/>
        <v>91.168000000000006</v>
      </c>
      <c r="AV89" s="28">
        <f t="shared" si="122"/>
        <v>193.732</v>
      </c>
      <c r="AX89" s="31">
        <f t="shared" si="123"/>
        <v>3551.9999999999995</v>
      </c>
      <c r="AY89" s="31">
        <f t="shared" si="124"/>
        <v>4439.9999999999991</v>
      </c>
      <c r="AZ89" s="31">
        <f t="shared" si="125"/>
        <v>5920</v>
      </c>
      <c r="BA89" s="31">
        <f t="shared" si="126"/>
        <v>12580</v>
      </c>
      <c r="BD89" s="55">
        <f t="shared" si="82"/>
        <v>30.635999999999999</v>
      </c>
      <c r="BE89" s="55">
        <f t="shared" si="83"/>
        <v>40.847999999999999</v>
      </c>
      <c r="BF89" s="55">
        <f t="shared" si="84"/>
        <v>86.802000000000007</v>
      </c>
      <c r="BI89" s="55">
        <f t="shared" si="85"/>
        <v>159.39599999999999</v>
      </c>
      <c r="BJ89" s="55">
        <f t="shared" si="86"/>
        <v>212.52799999999999</v>
      </c>
      <c r="BK89" s="55">
        <f t="shared" si="87"/>
        <v>451.62199999999996</v>
      </c>
      <c r="BN89" s="56">
        <f t="shared" si="88"/>
        <v>57284.87999999999</v>
      </c>
      <c r="BO89" s="56">
        <f t="shared" si="89"/>
        <v>76379.839999999997</v>
      </c>
      <c r="BP89" s="56">
        <f t="shared" si="90"/>
        <v>162307.16</v>
      </c>
      <c r="BR89" s="54"/>
    </row>
    <row r="90" spans="1:70" x14ac:dyDescent="0.2">
      <c r="A90" s="14">
        <v>44543</v>
      </c>
      <c r="B90" s="51" t="s">
        <v>229</v>
      </c>
      <c r="C90" s="17" t="s">
        <v>11</v>
      </c>
      <c r="D90" s="17" t="s">
        <v>10</v>
      </c>
      <c r="E90" s="18"/>
      <c r="F90" s="25">
        <v>1.1399999999999999</v>
      </c>
      <c r="G90" s="17"/>
      <c r="H90" s="17"/>
      <c r="I90" s="17">
        <f t="shared" si="61"/>
        <v>1.8199999999999998</v>
      </c>
      <c r="J90" s="22">
        <f t="shared" si="91"/>
        <v>2.34</v>
      </c>
      <c r="K90" s="22">
        <f t="shared" si="92"/>
        <v>3.01</v>
      </c>
      <c r="L90" s="22">
        <f t="shared" si="93"/>
        <v>3.6399999999999997</v>
      </c>
      <c r="M90" s="22">
        <f t="shared" si="94"/>
        <v>4.55</v>
      </c>
      <c r="N90" s="22">
        <f t="shared" si="95"/>
        <v>5.4599999999999991</v>
      </c>
      <c r="O90" s="22">
        <f t="shared" si="96"/>
        <v>6.3699999999999992</v>
      </c>
      <c r="P90" s="30">
        <f t="shared" si="97"/>
        <v>8.7359999999999989</v>
      </c>
      <c r="Q90" s="30">
        <f t="shared" si="98"/>
        <v>9.8279999999999994</v>
      </c>
      <c r="R90" s="30">
        <f t="shared" si="99"/>
        <v>10.373999999999997</v>
      </c>
      <c r="S90" s="30">
        <f t="shared" si="100"/>
        <v>10.191999999999998</v>
      </c>
      <c r="T90" s="30">
        <f t="shared" si="101"/>
        <v>10.919999999999998</v>
      </c>
      <c r="U90" s="30">
        <f t="shared" si="102"/>
        <v>14.559999999999999</v>
      </c>
      <c r="V90" s="30">
        <f t="shared" si="103"/>
        <v>30.939999999999998</v>
      </c>
      <c r="W90" s="22" t="s">
        <v>134</v>
      </c>
      <c r="X90" s="23">
        <f t="shared" si="104"/>
        <v>25479.999999999996</v>
      </c>
      <c r="Y90" s="23"/>
      <c r="Z90" s="23">
        <f t="shared" si="105"/>
        <v>34943.999999999993</v>
      </c>
      <c r="AA90" s="23">
        <f t="shared" si="106"/>
        <v>43679.999999999993</v>
      </c>
      <c r="AB90" s="23">
        <f t="shared" si="107"/>
        <v>58239.999999999993</v>
      </c>
      <c r="AC90" s="1" t="s">
        <v>135</v>
      </c>
      <c r="AE90" s="36">
        <f t="shared" si="108"/>
        <v>2.42</v>
      </c>
      <c r="AF90" s="37">
        <f t="shared" si="109"/>
        <v>2349.8199999999997</v>
      </c>
      <c r="AG90" s="28">
        <f t="shared" si="110"/>
        <v>8482.655999999999</v>
      </c>
      <c r="AH90" s="28">
        <f t="shared" si="111"/>
        <v>10603.319999999998</v>
      </c>
      <c r="AI90" s="28">
        <f t="shared" si="112"/>
        <v>14137.759999999998</v>
      </c>
      <c r="AJ90" s="28">
        <f t="shared" si="113"/>
        <v>30042.739999999998</v>
      </c>
      <c r="AK90" s="38"/>
      <c r="AL90" s="39">
        <v>1.06</v>
      </c>
      <c r="AM90" s="40">
        <f t="shared" si="114"/>
        <v>65.72</v>
      </c>
      <c r="AN90" s="28">
        <f t="shared" si="115"/>
        <v>541.63199999999995</v>
      </c>
      <c r="AO90" s="28">
        <f t="shared" si="116"/>
        <v>677.03999999999985</v>
      </c>
      <c r="AP90" s="28">
        <f t="shared" si="117"/>
        <v>902.71999999999991</v>
      </c>
      <c r="AQ90" s="28">
        <f t="shared" si="118"/>
        <v>1918.2799999999997</v>
      </c>
      <c r="AS90" s="28">
        <f t="shared" si="119"/>
        <v>67.267199999999988</v>
      </c>
      <c r="AT90" s="28">
        <f t="shared" si="120"/>
        <v>84.083999999999989</v>
      </c>
      <c r="AU90" s="28">
        <f t="shared" si="121"/>
        <v>112.11199999999999</v>
      </c>
      <c r="AV90" s="28">
        <f t="shared" si="122"/>
        <v>238.238</v>
      </c>
      <c r="AX90" s="31">
        <f t="shared" si="123"/>
        <v>4367.9999999999991</v>
      </c>
      <c r="AY90" s="31">
        <f t="shared" si="124"/>
        <v>5459.9999999999991</v>
      </c>
      <c r="AZ90" s="31">
        <f t="shared" si="125"/>
        <v>7279.9999999999991</v>
      </c>
      <c r="BA90" s="31">
        <f t="shared" si="126"/>
        <v>15469.999999999998</v>
      </c>
      <c r="BD90" s="55">
        <f t="shared" si="82"/>
        <v>37.673999999999992</v>
      </c>
      <c r="BE90" s="55">
        <f t="shared" si="83"/>
        <v>50.231999999999999</v>
      </c>
      <c r="BF90" s="55">
        <f t="shared" si="84"/>
        <v>106.74299999999999</v>
      </c>
      <c r="BI90" s="55">
        <f t="shared" si="85"/>
        <v>196.01399999999995</v>
      </c>
      <c r="BJ90" s="55">
        <f t="shared" si="86"/>
        <v>261.35199999999998</v>
      </c>
      <c r="BK90" s="55">
        <f t="shared" si="87"/>
        <v>555.37299999999993</v>
      </c>
      <c r="BN90" s="56">
        <f t="shared" si="88"/>
        <v>70444.919999999984</v>
      </c>
      <c r="BO90" s="56">
        <f t="shared" si="89"/>
        <v>93926.56</v>
      </c>
      <c r="BP90" s="56">
        <f t="shared" si="90"/>
        <v>199593.93999999997</v>
      </c>
      <c r="BR90" s="54"/>
    </row>
    <row r="91" spans="1:70" x14ac:dyDescent="0.2">
      <c r="A91" s="14">
        <v>44697</v>
      </c>
      <c r="B91" s="51" t="s">
        <v>144</v>
      </c>
      <c r="C91" s="52" t="s">
        <v>19</v>
      </c>
      <c r="D91" s="17" t="s">
        <v>12</v>
      </c>
      <c r="E91" s="18"/>
      <c r="F91" s="25">
        <v>1.31</v>
      </c>
      <c r="G91" s="17"/>
      <c r="H91" s="17"/>
      <c r="I91" s="17">
        <f t="shared" si="61"/>
        <v>1.9900000000000002</v>
      </c>
      <c r="J91" s="22">
        <f t="shared" si="91"/>
        <v>2.5099999999999998</v>
      </c>
      <c r="K91" s="22">
        <f t="shared" si="92"/>
        <v>3.18</v>
      </c>
      <c r="L91" s="22">
        <f t="shared" si="93"/>
        <v>3.9800000000000004</v>
      </c>
      <c r="M91" s="22">
        <f t="shared" si="94"/>
        <v>4.9750000000000005</v>
      </c>
      <c r="N91" s="22">
        <f t="shared" si="95"/>
        <v>5.9700000000000006</v>
      </c>
      <c r="O91" s="22">
        <f t="shared" si="96"/>
        <v>6.9650000000000007</v>
      </c>
      <c r="P91" s="30">
        <f t="shared" si="97"/>
        <v>9.5520000000000014</v>
      </c>
      <c r="Q91" s="30">
        <f t="shared" si="98"/>
        <v>10.746000000000002</v>
      </c>
      <c r="R91" s="30">
        <f t="shared" si="99"/>
        <v>11.343</v>
      </c>
      <c r="S91" s="30">
        <f t="shared" si="100"/>
        <v>11.144</v>
      </c>
      <c r="T91" s="30">
        <f t="shared" si="101"/>
        <v>11.940000000000001</v>
      </c>
      <c r="U91" s="30">
        <f t="shared" si="102"/>
        <v>15.920000000000002</v>
      </c>
      <c r="V91" s="30">
        <f t="shared" si="103"/>
        <v>33.830000000000005</v>
      </c>
      <c r="W91" s="22" t="s">
        <v>136</v>
      </c>
      <c r="X91" s="23">
        <f t="shared" si="104"/>
        <v>27860.000000000004</v>
      </c>
      <c r="Y91" s="23"/>
      <c r="Z91" s="23">
        <f t="shared" si="105"/>
        <v>38208.000000000007</v>
      </c>
      <c r="AA91" s="23">
        <f t="shared" si="106"/>
        <v>47760.000000000007</v>
      </c>
      <c r="AB91" s="23">
        <f t="shared" si="107"/>
        <v>63680.000000000007</v>
      </c>
      <c r="AC91" s="1" t="s">
        <v>137</v>
      </c>
      <c r="AE91" s="36">
        <f t="shared" si="108"/>
        <v>2.5900000000000003</v>
      </c>
      <c r="AF91" s="37">
        <f t="shared" si="109"/>
        <v>2514.8900000000003</v>
      </c>
      <c r="AG91" s="28">
        <f t="shared" si="110"/>
        <v>9274.992000000002</v>
      </c>
      <c r="AH91" s="28">
        <f t="shared" si="111"/>
        <v>11593.740000000002</v>
      </c>
      <c r="AI91" s="28">
        <f t="shared" si="112"/>
        <v>15458.320000000002</v>
      </c>
      <c r="AJ91" s="28">
        <f t="shared" si="113"/>
        <v>32848.930000000008</v>
      </c>
      <c r="AK91" s="38"/>
      <c r="AL91" s="39">
        <v>2.06</v>
      </c>
      <c r="AM91" s="40">
        <f t="shared" si="114"/>
        <v>127.72</v>
      </c>
      <c r="AN91" s="28">
        <f t="shared" si="115"/>
        <v>592.22400000000005</v>
      </c>
      <c r="AO91" s="28">
        <f t="shared" si="116"/>
        <v>740.28000000000009</v>
      </c>
      <c r="AP91" s="28">
        <f t="shared" si="117"/>
        <v>987.04000000000008</v>
      </c>
      <c r="AQ91" s="28">
        <f t="shared" si="118"/>
        <v>2097.4600000000005</v>
      </c>
      <c r="AS91" s="28">
        <f t="shared" si="119"/>
        <v>73.55040000000001</v>
      </c>
      <c r="AT91" s="28">
        <f t="shared" si="120"/>
        <v>91.938000000000017</v>
      </c>
      <c r="AU91" s="28">
        <f t="shared" si="121"/>
        <v>122.58400000000002</v>
      </c>
      <c r="AV91" s="28">
        <f t="shared" si="122"/>
        <v>260.49100000000004</v>
      </c>
      <c r="AX91" s="31">
        <f t="shared" si="123"/>
        <v>4776.0000000000009</v>
      </c>
      <c r="AY91" s="31">
        <f t="shared" si="124"/>
        <v>5970.0000000000009</v>
      </c>
      <c r="AZ91" s="31">
        <f t="shared" si="125"/>
        <v>7960.0000000000009</v>
      </c>
      <c r="BA91" s="31">
        <f t="shared" si="126"/>
        <v>16915.000000000004</v>
      </c>
      <c r="BD91" s="55">
        <f t="shared" si="82"/>
        <v>41.193000000000005</v>
      </c>
      <c r="BE91" s="55">
        <f t="shared" si="83"/>
        <v>54.924000000000007</v>
      </c>
      <c r="BF91" s="55">
        <f t="shared" si="84"/>
        <v>116.71350000000002</v>
      </c>
      <c r="BI91" s="55">
        <f t="shared" si="85"/>
        <v>214.32300000000001</v>
      </c>
      <c r="BJ91" s="55">
        <f t="shared" si="86"/>
        <v>285.76400000000001</v>
      </c>
      <c r="BK91" s="55">
        <f t="shared" si="87"/>
        <v>607.24850000000004</v>
      </c>
      <c r="BN91" s="56">
        <f t="shared" si="88"/>
        <v>77024.94</v>
      </c>
      <c r="BO91" s="56">
        <f t="shared" si="89"/>
        <v>102699.92000000001</v>
      </c>
      <c r="BP91" s="56">
        <f t="shared" si="90"/>
        <v>218237.33000000005</v>
      </c>
      <c r="BR91" s="54"/>
    </row>
    <row r="92" spans="1:70" x14ac:dyDescent="0.2">
      <c r="A92" s="14">
        <v>44701</v>
      </c>
      <c r="B92" s="51" t="s">
        <v>152</v>
      </c>
      <c r="C92" s="52" t="s">
        <v>145</v>
      </c>
      <c r="D92" s="17" t="s">
        <v>10</v>
      </c>
      <c r="E92" s="18"/>
      <c r="F92" s="25">
        <v>2.21</v>
      </c>
      <c r="G92" s="17"/>
      <c r="H92" s="17"/>
      <c r="I92" s="17">
        <f t="shared" si="61"/>
        <v>2.89</v>
      </c>
      <c r="J92" s="22">
        <f t="shared" si="91"/>
        <v>3.41</v>
      </c>
      <c r="K92" s="22">
        <f t="shared" si="92"/>
        <v>4.08</v>
      </c>
      <c r="L92" s="22">
        <f t="shared" si="93"/>
        <v>5.78</v>
      </c>
      <c r="M92" s="22">
        <f t="shared" si="94"/>
        <v>7.2250000000000005</v>
      </c>
      <c r="N92" s="22">
        <f t="shared" si="95"/>
        <v>8.67</v>
      </c>
      <c r="O92" s="22">
        <f t="shared" si="96"/>
        <v>10.115</v>
      </c>
      <c r="P92" s="30">
        <f t="shared" si="97"/>
        <v>13.872</v>
      </c>
      <c r="Q92" s="30">
        <f t="shared" si="98"/>
        <v>15.606</v>
      </c>
      <c r="R92" s="30">
        <f t="shared" si="99"/>
        <v>16.472999999999999</v>
      </c>
      <c r="S92" s="30">
        <f t="shared" si="100"/>
        <v>16.184000000000001</v>
      </c>
      <c r="T92" s="30">
        <f t="shared" si="101"/>
        <v>17.34</v>
      </c>
      <c r="U92" s="30">
        <f t="shared" si="102"/>
        <v>23.12</v>
      </c>
      <c r="V92" s="30">
        <f t="shared" si="103"/>
        <v>49.13</v>
      </c>
      <c r="W92" s="22" t="s">
        <v>138</v>
      </c>
      <c r="X92" s="23">
        <f t="shared" si="104"/>
        <v>40460</v>
      </c>
      <c r="Y92" s="23"/>
      <c r="Z92" s="23">
        <f t="shared" si="105"/>
        <v>55488</v>
      </c>
      <c r="AA92" s="23">
        <f t="shared" si="106"/>
        <v>69360</v>
      </c>
      <c r="AB92" s="23">
        <f t="shared" si="107"/>
        <v>92480</v>
      </c>
      <c r="AC92" s="1" t="s">
        <v>139</v>
      </c>
      <c r="AE92" s="36">
        <f t="shared" si="108"/>
        <v>3.49</v>
      </c>
      <c r="AF92" s="37">
        <f t="shared" si="109"/>
        <v>3388.7900000000004</v>
      </c>
      <c r="AG92" s="28">
        <f t="shared" si="110"/>
        <v>13469.712</v>
      </c>
      <c r="AH92" s="28">
        <f t="shared" si="111"/>
        <v>16837.14</v>
      </c>
      <c r="AI92" s="28">
        <f t="shared" si="112"/>
        <v>22449.52</v>
      </c>
      <c r="AJ92" s="28">
        <f t="shared" si="113"/>
        <v>47705.23</v>
      </c>
      <c r="AK92" s="38"/>
      <c r="AL92" s="39">
        <v>3.06</v>
      </c>
      <c r="AM92" s="40">
        <f t="shared" si="114"/>
        <v>189.72</v>
      </c>
      <c r="AN92" s="28">
        <f t="shared" si="115"/>
        <v>860.06399999999996</v>
      </c>
      <c r="AO92" s="28">
        <f t="shared" si="116"/>
        <v>1075.08</v>
      </c>
      <c r="AP92" s="28">
        <f t="shared" si="117"/>
        <v>1433.44</v>
      </c>
      <c r="AQ92" s="28">
        <f t="shared" si="118"/>
        <v>3046.06</v>
      </c>
      <c r="AS92" s="28">
        <f t="shared" si="119"/>
        <v>106.81440000000001</v>
      </c>
      <c r="AT92" s="28">
        <f t="shared" si="120"/>
        <v>133.518</v>
      </c>
      <c r="AU92" s="28">
        <f t="shared" si="121"/>
        <v>178.024</v>
      </c>
      <c r="AV92" s="28">
        <f t="shared" si="122"/>
        <v>378.30100000000004</v>
      </c>
      <c r="AX92" s="31">
        <f t="shared" si="123"/>
        <v>6936</v>
      </c>
      <c r="AY92" s="31">
        <f t="shared" si="124"/>
        <v>8670</v>
      </c>
      <c r="AZ92" s="31">
        <f t="shared" si="125"/>
        <v>11560</v>
      </c>
      <c r="BA92" s="31">
        <f t="shared" si="126"/>
        <v>24565</v>
      </c>
      <c r="BD92" s="55">
        <f t="shared" si="82"/>
        <v>59.823</v>
      </c>
      <c r="BE92" s="55">
        <f t="shared" si="83"/>
        <v>79.76400000000001</v>
      </c>
      <c r="BF92" s="55">
        <f t="shared" si="84"/>
        <v>169.49850000000001</v>
      </c>
      <c r="BI92" s="55">
        <f t="shared" si="85"/>
        <v>311.25299999999999</v>
      </c>
      <c r="BJ92" s="55">
        <f t="shared" si="86"/>
        <v>415.00400000000002</v>
      </c>
      <c r="BK92" s="55">
        <f t="shared" si="87"/>
        <v>881.88350000000003</v>
      </c>
      <c r="BN92" s="56">
        <f t="shared" si="88"/>
        <v>111860.34</v>
      </c>
      <c r="BO92" s="56">
        <f t="shared" si="89"/>
        <v>149147.12</v>
      </c>
      <c r="BP92" s="56">
        <f t="shared" si="90"/>
        <v>316937.63</v>
      </c>
      <c r="BR92" s="54"/>
    </row>
    <row r="93" spans="1:70" x14ac:dyDescent="0.2">
      <c r="A93" s="14">
        <v>44881</v>
      </c>
      <c r="B93" s="21" t="s">
        <v>81</v>
      </c>
      <c r="C93" s="17" t="s">
        <v>11</v>
      </c>
      <c r="D93" s="17" t="s">
        <v>12</v>
      </c>
      <c r="E93" s="18">
        <v>1.94</v>
      </c>
      <c r="F93" s="24">
        <v>2.78</v>
      </c>
      <c r="G93" s="20" t="s">
        <v>6</v>
      </c>
      <c r="H93" s="11">
        <v>25</v>
      </c>
      <c r="I93" s="17">
        <f t="shared" si="61"/>
        <v>3.46</v>
      </c>
      <c r="J93" s="22">
        <f t="shared" si="62"/>
        <v>3.9799999999999995</v>
      </c>
      <c r="K93" s="22">
        <f t="shared" si="63"/>
        <v>4.6500000000000004</v>
      </c>
      <c r="L93" s="22">
        <f t="shared" si="47"/>
        <v>6.92</v>
      </c>
      <c r="M93" s="22">
        <f t="shared" si="48"/>
        <v>8.65</v>
      </c>
      <c r="N93" s="22">
        <f t="shared" si="49"/>
        <v>10.379999999999999</v>
      </c>
      <c r="O93" s="22">
        <f t="shared" si="50"/>
        <v>12.11</v>
      </c>
      <c r="P93" s="30">
        <f t="shared" si="64"/>
        <v>16.608000000000001</v>
      </c>
      <c r="Q93" s="30">
        <f t="shared" si="65"/>
        <v>18.683999999999997</v>
      </c>
      <c r="R93" s="30">
        <f t="shared" si="66"/>
        <v>19.721999999999998</v>
      </c>
      <c r="S93" s="30">
        <f t="shared" si="67"/>
        <v>19.375999999999998</v>
      </c>
      <c r="T93" s="30">
        <f t="shared" si="68"/>
        <v>20.759999999999998</v>
      </c>
      <c r="U93" s="30">
        <f>I93*8</f>
        <v>27.68</v>
      </c>
      <c r="V93" s="30">
        <f>I93*17</f>
        <v>58.82</v>
      </c>
      <c r="W93" s="22" t="s">
        <v>52</v>
      </c>
      <c r="X93" s="23">
        <f t="shared" si="53"/>
        <v>48440</v>
      </c>
      <c r="Y93" s="23"/>
      <c r="Z93" s="23">
        <f t="shared" si="54"/>
        <v>66432</v>
      </c>
      <c r="AA93" s="23">
        <f t="shared" si="78"/>
        <v>83039.999999999985</v>
      </c>
      <c r="AB93" s="23">
        <f t="shared" si="78"/>
        <v>110720</v>
      </c>
      <c r="AC93" s="1" t="s">
        <v>44</v>
      </c>
      <c r="AE93" s="36">
        <f t="shared" si="56"/>
        <v>4.0599999999999996</v>
      </c>
      <c r="AF93" s="37">
        <f t="shared" si="70"/>
        <v>3942.2599999999998</v>
      </c>
      <c r="AG93" s="28">
        <f t="shared" si="57"/>
        <v>16126.368</v>
      </c>
      <c r="AH93" s="28">
        <f t="shared" si="71"/>
        <v>20157.96</v>
      </c>
      <c r="AI93" s="28">
        <f t="shared" si="71"/>
        <v>26877.279999999999</v>
      </c>
      <c r="AJ93" s="28">
        <f t="shared" si="71"/>
        <v>57114.22</v>
      </c>
      <c r="AK93" s="38"/>
      <c r="AL93" s="39">
        <v>4.0599999999999996</v>
      </c>
      <c r="AM93" s="40">
        <f t="shared" si="72"/>
        <v>251.71999999999997</v>
      </c>
      <c r="AN93" s="28">
        <f t="shared" si="58"/>
        <v>1029.6960000000001</v>
      </c>
      <c r="AO93" s="28">
        <f t="shared" si="73"/>
        <v>1287.1199999999999</v>
      </c>
      <c r="AP93" s="28">
        <f t="shared" si="73"/>
        <v>1716.16</v>
      </c>
      <c r="AQ93" s="28">
        <f t="shared" si="73"/>
        <v>3646.84</v>
      </c>
      <c r="AS93" s="28">
        <f t="shared" si="59"/>
        <v>127.88160000000001</v>
      </c>
      <c r="AT93" s="28">
        <f t="shared" si="74"/>
        <v>159.85199999999998</v>
      </c>
      <c r="AU93" s="28">
        <f t="shared" si="74"/>
        <v>213.136</v>
      </c>
      <c r="AV93" s="28">
        <f t="shared" si="74"/>
        <v>452.91399999999999</v>
      </c>
      <c r="AX93" s="31">
        <f t="shared" si="60"/>
        <v>8304</v>
      </c>
      <c r="AY93" s="31">
        <f t="shared" si="75"/>
        <v>10379.999999999998</v>
      </c>
      <c r="AZ93" s="31">
        <f t="shared" si="75"/>
        <v>13840</v>
      </c>
      <c r="BA93" s="31">
        <f t="shared" si="75"/>
        <v>29410</v>
      </c>
      <c r="BD93" s="55">
        <f t="shared" si="82"/>
        <v>71.622</v>
      </c>
      <c r="BE93" s="55">
        <f t="shared" si="83"/>
        <v>95.496000000000009</v>
      </c>
      <c r="BF93" s="55">
        <f t="shared" si="84"/>
        <v>202.929</v>
      </c>
      <c r="BI93" s="55">
        <f t="shared" si="85"/>
        <v>372.64199999999994</v>
      </c>
      <c r="BJ93" s="55">
        <f t="shared" si="86"/>
        <v>496.85599999999999</v>
      </c>
      <c r="BK93" s="55">
        <f t="shared" si="87"/>
        <v>1055.819</v>
      </c>
      <c r="BN93" s="56">
        <f t="shared" si="88"/>
        <v>133922.75999999998</v>
      </c>
      <c r="BO93" s="56">
        <f t="shared" si="89"/>
        <v>178563.68</v>
      </c>
      <c r="BP93" s="56">
        <f t="shared" si="90"/>
        <v>379447.82</v>
      </c>
      <c r="BR93" s="54"/>
    </row>
    <row r="94" spans="1:70" x14ac:dyDescent="0.2">
      <c r="A94" s="14">
        <v>44883</v>
      </c>
      <c r="B94" s="57" t="s">
        <v>235</v>
      </c>
      <c r="C94" s="17" t="s">
        <v>11</v>
      </c>
      <c r="D94" s="17" t="s">
        <v>10</v>
      </c>
      <c r="E94" s="18">
        <v>2.8</v>
      </c>
      <c r="F94" s="24">
        <v>4.0199999999999996</v>
      </c>
      <c r="G94" s="20" t="s">
        <v>6</v>
      </c>
      <c r="H94" s="11">
        <v>20</v>
      </c>
      <c r="I94" s="30">
        <f t="shared" si="61"/>
        <v>4.6999999999999993</v>
      </c>
      <c r="J94" s="22">
        <f t="shared" si="62"/>
        <v>5.22</v>
      </c>
      <c r="K94" s="22">
        <f t="shared" si="63"/>
        <v>5.89</v>
      </c>
      <c r="L94" s="22">
        <f t="shared" si="47"/>
        <v>9.3999999999999986</v>
      </c>
      <c r="M94" s="22">
        <f t="shared" si="48"/>
        <v>11.749999999999998</v>
      </c>
      <c r="N94" s="22">
        <f t="shared" si="49"/>
        <v>14.099999999999998</v>
      </c>
      <c r="O94" s="22">
        <f t="shared" si="50"/>
        <v>16.449999999999996</v>
      </c>
      <c r="P94" s="30">
        <f t="shared" si="64"/>
        <v>22.56</v>
      </c>
      <c r="Q94" s="30">
        <f t="shared" si="65"/>
        <v>25.379999999999995</v>
      </c>
      <c r="R94" s="30">
        <f t="shared" si="66"/>
        <v>26.789999999999996</v>
      </c>
      <c r="S94" s="30">
        <f t="shared" si="67"/>
        <v>26.319999999999993</v>
      </c>
      <c r="T94" s="30">
        <f t="shared" si="68"/>
        <v>28.199999999999996</v>
      </c>
      <c r="U94" s="30">
        <f>I94*8</f>
        <v>37.599999999999994</v>
      </c>
      <c r="V94" s="30">
        <f>I94*17</f>
        <v>79.899999999999991</v>
      </c>
      <c r="W94" s="22" t="s">
        <v>52</v>
      </c>
      <c r="X94" s="23">
        <f t="shared" si="53"/>
        <v>65799.999999999985</v>
      </c>
      <c r="Y94" s="23"/>
      <c r="Z94" s="23">
        <f t="shared" si="54"/>
        <v>90240</v>
      </c>
      <c r="AA94" s="23">
        <f t="shared" si="78"/>
        <v>112799.99999999999</v>
      </c>
      <c r="AB94" s="23">
        <f t="shared" si="78"/>
        <v>150399.99999999997</v>
      </c>
      <c r="AC94" s="1" t="s">
        <v>44</v>
      </c>
      <c r="AE94" s="36">
        <f t="shared" si="56"/>
        <v>5.2999999999999989</v>
      </c>
      <c r="AF94" s="37">
        <f t="shared" si="70"/>
        <v>5146.2999999999993</v>
      </c>
      <c r="AG94" s="28">
        <f t="shared" si="57"/>
        <v>21905.759999999998</v>
      </c>
      <c r="AH94" s="28">
        <f t="shared" si="71"/>
        <v>27382.199999999997</v>
      </c>
      <c r="AI94" s="28">
        <f t="shared" si="71"/>
        <v>36509.599999999991</v>
      </c>
      <c r="AJ94" s="28">
        <f t="shared" si="71"/>
        <v>77582.899999999994</v>
      </c>
      <c r="AK94" s="38"/>
      <c r="AL94" s="39">
        <v>5.2999999999999989</v>
      </c>
      <c r="AM94" s="40">
        <f t="shared" si="72"/>
        <v>328.59999999999991</v>
      </c>
      <c r="AN94" s="28">
        <f t="shared" si="58"/>
        <v>1398.72</v>
      </c>
      <c r="AO94" s="28">
        <f t="shared" si="73"/>
        <v>1748.3999999999996</v>
      </c>
      <c r="AP94" s="28">
        <f t="shared" si="73"/>
        <v>2331.1999999999998</v>
      </c>
      <c r="AQ94" s="28">
        <f t="shared" si="73"/>
        <v>4953.7999999999993</v>
      </c>
      <c r="AS94" s="28">
        <f t="shared" si="59"/>
        <v>173.71199999999999</v>
      </c>
      <c r="AT94" s="28">
        <f t="shared" si="74"/>
        <v>217.14</v>
      </c>
      <c r="AU94" s="28">
        <f t="shared" si="74"/>
        <v>289.52</v>
      </c>
      <c r="AV94" s="28">
        <f t="shared" si="74"/>
        <v>615.2299999999999</v>
      </c>
      <c r="AX94" s="31">
        <f t="shared" si="60"/>
        <v>11280</v>
      </c>
      <c r="AY94" s="31">
        <f t="shared" si="75"/>
        <v>14099.999999999998</v>
      </c>
      <c r="AZ94" s="31">
        <f t="shared" si="75"/>
        <v>18799.999999999996</v>
      </c>
      <c r="BA94" s="31">
        <f t="shared" si="75"/>
        <v>39949.999999999993</v>
      </c>
      <c r="BD94" s="55">
        <f t="shared" si="82"/>
        <v>97.289999999999992</v>
      </c>
      <c r="BE94" s="55">
        <f t="shared" si="83"/>
        <v>129.72</v>
      </c>
      <c r="BF94" s="55">
        <f t="shared" si="84"/>
        <v>275.65499999999997</v>
      </c>
      <c r="BI94" s="55">
        <f t="shared" si="85"/>
        <v>506.18999999999988</v>
      </c>
      <c r="BJ94" s="55">
        <f t="shared" si="86"/>
        <v>674.91999999999985</v>
      </c>
      <c r="BK94" s="55">
        <f t="shared" si="87"/>
        <v>1434.2049999999997</v>
      </c>
      <c r="BN94" s="56">
        <f t="shared" si="88"/>
        <v>181918.19999999998</v>
      </c>
      <c r="BO94" s="56">
        <f t="shared" si="89"/>
        <v>242557.59999999998</v>
      </c>
      <c r="BP94" s="56">
        <f t="shared" si="90"/>
        <v>515434.89999999997</v>
      </c>
      <c r="BR94" s="54"/>
    </row>
    <row r="95" spans="1:70" x14ac:dyDescent="0.2">
      <c r="A95" s="14">
        <v>44888</v>
      </c>
      <c r="B95" s="21" t="s">
        <v>82</v>
      </c>
      <c r="C95" s="17" t="s">
        <v>15</v>
      </c>
      <c r="D95" s="17" t="s">
        <v>10</v>
      </c>
      <c r="E95" s="18">
        <v>3.3</v>
      </c>
      <c r="F95" s="24">
        <v>5.1100000000000003</v>
      </c>
      <c r="G95" s="20" t="s">
        <v>6</v>
      </c>
      <c r="H95" s="17">
        <v>50</v>
      </c>
      <c r="I95" s="17">
        <f t="shared" si="61"/>
        <v>5.79</v>
      </c>
      <c r="J95" s="22">
        <f t="shared" si="62"/>
        <v>6.3100000000000005</v>
      </c>
      <c r="K95" s="22">
        <f t="shared" si="63"/>
        <v>6.98</v>
      </c>
      <c r="L95" s="22">
        <f t="shared" si="47"/>
        <v>11.58</v>
      </c>
      <c r="M95" s="22">
        <f t="shared" si="48"/>
        <v>14.475</v>
      </c>
      <c r="N95" s="22">
        <f t="shared" si="49"/>
        <v>17.37</v>
      </c>
      <c r="O95" s="22">
        <f t="shared" si="50"/>
        <v>20.265000000000001</v>
      </c>
      <c r="P95" s="30">
        <f t="shared" si="64"/>
        <v>27.792000000000002</v>
      </c>
      <c r="Q95" s="30">
        <f t="shared" si="65"/>
        <v>31.266000000000002</v>
      </c>
      <c r="R95" s="30">
        <f t="shared" si="66"/>
        <v>33.003</v>
      </c>
      <c r="S95" s="30">
        <f t="shared" si="67"/>
        <v>32.423999999999999</v>
      </c>
      <c r="T95" s="30">
        <f t="shared" si="68"/>
        <v>34.74</v>
      </c>
      <c r="U95" s="30">
        <f>I95*8</f>
        <v>46.32</v>
      </c>
      <c r="V95" s="30">
        <f>I95*17</f>
        <v>98.43</v>
      </c>
      <c r="W95" s="22" t="s">
        <v>52</v>
      </c>
      <c r="X95" s="23">
        <f t="shared" si="53"/>
        <v>81060</v>
      </c>
      <c r="Y95" s="23"/>
      <c r="Z95" s="23">
        <f t="shared" si="54"/>
        <v>111168</v>
      </c>
      <c r="AA95" s="23">
        <f t="shared" si="78"/>
        <v>138960</v>
      </c>
      <c r="AB95" s="23">
        <f t="shared" si="78"/>
        <v>185280</v>
      </c>
      <c r="AC95" s="1" t="s">
        <v>44</v>
      </c>
      <c r="AE95" s="36">
        <f t="shared" si="56"/>
        <v>6.39</v>
      </c>
      <c r="AF95" s="37">
        <f t="shared" si="70"/>
        <v>6204.69</v>
      </c>
      <c r="AG95" s="28">
        <f t="shared" si="57"/>
        <v>26986.032000000003</v>
      </c>
      <c r="AH95" s="28">
        <f t="shared" si="71"/>
        <v>33732.54</v>
      </c>
      <c r="AI95" s="28">
        <f t="shared" si="71"/>
        <v>44976.72</v>
      </c>
      <c r="AJ95" s="28">
        <f t="shared" si="71"/>
        <v>95575.530000000013</v>
      </c>
      <c r="AK95" s="38"/>
      <c r="AL95" s="39">
        <v>6.39</v>
      </c>
      <c r="AM95" s="40">
        <f t="shared" si="72"/>
        <v>396.18</v>
      </c>
      <c r="AN95" s="28">
        <f t="shared" si="58"/>
        <v>1723.104</v>
      </c>
      <c r="AO95" s="28">
        <f t="shared" si="73"/>
        <v>2153.88</v>
      </c>
      <c r="AP95" s="28">
        <f t="shared" si="73"/>
        <v>2871.84</v>
      </c>
      <c r="AQ95" s="28">
        <f t="shared" si="73"/>
        <v>6102.6600000000008</v>
      </c>
      <c r="AS95" s="28">
        <f t="shared" si="59"/>
        <v>213.9984</v>
      </c>
      <c r="AT95" s="28">
        <f t="shared" si="74"/>
        <v>267.49800000000005</v>
      </c>
      <c r="AU95" s="28">
        <f t="shared" si="74"/>
        <v>356.66399999999999</v>
      </c>
      <c r="AV95" s="28">
        <f t="shared" si="74"/>
        <v>757.91100000000006</v>
      </c>
      <c r="AX95" s="31">
        <f t="shared" si="60"/>
        <v>13896</v>
      </c>
      <c r="AY95" s="31">
        <f t="shared" si="75"/>
        <v>17370</v>
      </c>
      <c r="AZ95" s="31">
        <f t="shared" si="75"/>
        <v>23160</v>
      </c>
      <c r="BA95" s="31">
        <f t="shared" si="75"/>
        <v>49215</v>
      </c>
      <c r="BD95" s="55">
        <f t="shared" si="82"/>
        <v>119.85300000000001</v>
      </c>
      <c r="BE95" s="55">
        <f t="shared" si="83"/>
        <v>159.804</v>
      </c>
      <c r="BF95" s="55">
        <f t="shared" si="84"/>
        <v>339.58350000000002</v>
      </c>
      <c r="BI95" s="55">
        <f t="shared" si="85"/>
        <v>623.58299999999997</v>
      </c>
      <c r="BJ95" s="55">
        <f t="shared" si="86"/>
        <v>831.44399999999996</v>
      </c>
      <c r="BK95" s="55">
        <f t="shared" si="87"/>
        <v>1766.8185000000001</v>
      </c>
      <c r="BN95" s="56">
        <f t="shared" si="88"/>
        <v>224107.74000000002</v>
      </c>
      <c r="BO95" s="56">
        <f t="shared" si="89"/>
        <v>298810.32</v>
      </c>
      <c r="BP95" s="56">
        <f t="shared" si="90"/>
        <v>634971.93000000005</v>
      </c>
      <c r="BR95" s="54"/>
    </row>
    <row r="96" spans="1:70" x14ac:dyDescent="0.2">
      <c r="A96" s="14">
        <v>44890</v>
      </c>
      <c r="B96" s="21" t="s">
        <v>83</v>
      </c>
      <c r="C96" s="17" t="s">
        <v>16</v>
      </c>
      <c r="D96" s="17" t="s">
        <v>10</v>
      </c>
      <c r="E96" s="18">
        <v>3.77</v>
      </c>
      <c r="F96" s="24">
        <v>5.63</v>
      </c>
      <c r="G96" s="20" t="s">
        <v>6</v>
      </c>
      <c r="H96" s="17">
        <v>40</v>
      </c>
      <c r="I96" s="17">
        <f t="shared" si="61"/>
        <v>6.31</v>
      </c>
      <c r="J96" s="22">
        <f t="shared" si="62"/>
        <v>6.83</v>
      </c>
      <c r="K96" s="22">
        <f t="shared" si="63"/>
        <v>7.5</v>
      </c>
      <c r="L96" s="22">
        <f t="shared" ref="L96:L160" si="127">I96*2</f>
        <v>12.62</v>
      </c>
      <c r="M96" s="22">
        <f t="shared" ref="M96:M160" si="128">I96*2.5</f>
        <v>15.774999999999999</v>
      </c>
      <c r="N96" s="22">
        <f t="shared" ref="N96:N160" si="129">I96*3</f>
        <v>18.93</v>
      </c>
      <c r="O96" s="22">
        <f t="shared" ref="O96:O160" si="130">I96*3.5</f>
        <v>22.084999999999997</v>
      </c>
      <c r="P96" s="30">
        <f t="shared" si="64"/>
        <v>30.288</v>
      </c>
      <c r="Q96" s="30">
        <f t="shared" si="65"/>
        <v>34.073999999999998</v>
      </c>
      <c r="R96" s="30">
        <f t="shared" si="66"/>
        <v>35.966999999999999</v>
      </c>
      <c r="S96" s="30">
        <f t="shared" si="67"/>
        <v>35.335999999999999</v>
      </c>
      <c r="T96" s="30">
        <f t="shared" si="68"/>
        <v>37.86</v>
      </c>
      <c r="U96" s="30">
        <f>I96*8</f>
        <v>50.48</v>
      </c>
      <c r="V96" s="30">
        <f>I96*17</f>
        <v>107.27</v>
      </c>
      <c r="W96" s="22" t="s">
        <v>52</v>
      </c>
      <c r="X96" s="23">
        <f t="shared" ref="X96:X160" si="131">O96*4000</f>
        <v>88339.999999999985</v>
      </c>
      <c r="Y96" s="23"/>
      <c r="Z96" s="23">
        <f t="shared" ref="Z96:Z160" si="132">P96*4000</f>
        <v>121152</v>
      </c>
      <c r="AA96" s="23">
        <f t="shared" si="78"/>
        <v>151440</v>
      </c>
      <c r="AB96" s="23">
        <f t="shared" si="78"/>
        <v>201920</v>
      </c>
      <c r="AC96" s="1" t="s">
        <v>44</v>
      </c>
      <c r="AE96" s="36">
        <f t="shared" ref="AE96:AE160" si="133">I96+0.6</f>
        <v>6.9099999999999993</v>
      </c>
      <c r="AF96" s="37">
        <f t="shared" si="70"/>
        <v>6709.61</v>
      </c>
      <c r="AG96" s="28">
        <f t="shared" ref="AG96:AG160" si="134">P96*971</f>
        <v>29409.648000000001</v>
      </c>
      <c r="AH96" s="28">
        <f t="shared" si="71"/>
        <v>36762.06</v>
      </c>
      <c r="AI96" s="28">
        <f t="shared" si="71"/>
        <v>49016.079999999994</v>
      </c>
      <c r="AJ96" s="28">
        <f t="shared" si="71"/>
        <v>104159.17</v>
      </c>
      <c r="AK96" s="38"/>
      <c r="AL96" s="39">
        <v>6.9099999999999993</v>
      </c>
      <c r="AM96" s="40">
        <f t="shared" si="72"/>
        <v>428.41999999999996</v>
      </c>
      <c r="AN96" s="28">
        <f t="shared" ref="AN96:AN160" si="135">P96*62</f>
        <v>1877.856</v>
      </c>
      <c r="AO96" s="28">
        <f t="shared" si="73"/>
        <v>2347.3200000000002</v>
      </c>
      <c r="AP96" s="28">
        <f t="shared" si="73"/>
        <v>3129.7599999999998</v>
      </c>
      <c r="AQ96" s="28">
        <f t="shared" si="73"/>
        <v>6650.74</v>
      </c>
      <c r="AS96" s="28">
        <f t="shared" ref="AS96:AS160" si="136">P96*7.7</f>
        <v>233.2176</v>
      </c>
      <c r="AT96" s="28">
        <f t="shared" si="74"/>
        <v>291.52199999999999</v>
      </c>
      <c r="AU96" s="28">
        <f t="shared" si="74"/>
        <v>388.69599999999997</v>
      </c>
      <c r="AV96" s="28">
        <f t="shared" si="74"/>
        <v>825.97900000000004</v>
      </c>
      <c r="AX96" s="31">
        <f t="shared" ref="AX96:AX160" si="137">P96*500</f>
        <v>15144</v>
      </c>
      <c r="AY96" s="31">
        <f t="shared" si="75"/>
        <v>18930</v>
      </c>
      <c r="AZ96" s="31">
        <f t="shared" si="75"/>
        <v>25240</v>
      </c>
      <c r="BA96" s="31">
        <f t="shared" si="75"/>
        <v>53635</v>
      </c>
      <c r="BD96" s="55">
        <f t="shared" si="82"/>
        <v>130.61700000000002</v>
      </c>
      <c r="BE96" s="55">
        <f t="shared" si="83"/>
        <v>174.15600000000001</v>
      </c>
      <c r="BF96" s="55">
        <f t="shared" si="84"/>
        <v>370.08150000000001</v>
      </c>
      <c r="BI96" s="55">
        <f t="shared" si="85"/>
        <v>679.58699999999999</v>
      </c>
      <c r="BJ96" s="55">
        <f t="shared" si="86"/>
        <v>906.11599999999987</v>
      </c>
      <c r="BK96" s="55">
        <f t="shared" si="87"/>
        <v>1925.4964999999997</v>
      </c>
      <c r="BN96" s="56">
        <f t="shared" si="88"/>
        <v>244234.86</v>
      </c>
      <c r="BO96" s="56">
        <f t="shared" si="89"/>
        <v>325646.48</v>
      </c>
      <c r="BP96" s="56">
        <f t="shared" si="90"/>
        <v>691998.77</v>
      </c>
      <c r="BR96" s="54"/>
    </row>
    <row r="97" spans="1:70" x14ac:dyDescent="0.2">
      <c r="A97" s="14">
        <v>51189</v>
      </c>
      <c r="B97" s="21" t="s">
        <v>84</v>
      </c>
      <c r="C97" s="17" t="s">
        <v>4</v>
      </c>
      <c r="D97" s="17" t="s">
        <v>5</v>
      </c>
      <c r="E97" s="18">
        <v>0.72</v>
      </c>
      <c r="F97" s="19">
        <v>1.18</v>
      </c>
      <c r="G97" s="20" t="s">
        <v>13</v>
      </c>
      <c r="H97" s="11">
        <v>50</v>
      </c>
      <c r="I97" s="17">
        <f t="shared" si="61"/>
        <v>1.8599999999999999</v>
      </c>
      <c r="J97" s="22">
        <f t="shared" ref="J97:J160" si="138">F97+1.2</f>
        <v>2.38</v>
      </c>
      <c r="K97" s="22">
        <f t="shared" ref="K97:K160" si="139">F97+1.87</f>
        <v>3.05</v>
      </c>
      <c r="L97" s="22">
        <f t="shared" si="127"/>
        <v>3.7199999999999998</v>
      </c>
      <c r="M97" s="22">
        <f t="shared" si="128"/>
        <v>4.6499999999999995</v>
      </c>
      <c r="N97" s="22">
        <f t="shared" si="129"/>
        <v>5.58</v>
      </c>
      <c r="O97" s="22">
        <f t="shared" si="130"/>
        <v>6.51</v>
      </c>
      <c r="P97" s="30">
        <f t="shared" si="64"/>
        <v>11.16</v>
      </c>
      <c r="Q97" s="30">
        <f t="shared" ref="Q97:Q160" si="140">T97*0.9</f>
        <v>12.555</v>
      </c>
      <c r="R97" s="30">
        <f t="shared" ref="R97:R160" si="141">T97*0.95</f>
        <v>13.2525</v>
      </c>
      <c r="S97" s="30">
        <f t="shared" ref="S97:S160" si="142">U97*0.7</f>
        <v>13.019999999999998</v>
      </c>
      <c r="T97" s="30">
        <f t="shared" si="68"/>
        <v>13.95</v>
      </c>
      <c r="U97" s="30">
        <f t="shared" ref="U97:U160" si="143">I97*10</f>
        <v>18.599999999999998</v>
      </c>
      <c r="V97" s="30">
        <f t="shared" ref="V97:V160" si="144">I97*20</f>
        <v>37.199999999999996</v>
      </c>
      <c r="W97" s="22"/>
      <c r="X97" s="23">
        <f t="shared" si="131"/>
        <v>26040</v>
      </c>
      <c r="Y97" s="23"/>
      <c r="Z97" s="23">
        <f t="shared" si="132"/>
        <v>44640</v>
      </c>
      <c r="AA97" s="23">
        <f t="shared" si="78"/>
        <v>55800</v>
      </c>
      <c r="AB97" s="23">
        <f t="shared" si="78"/>
        <v>74399.999999999985</v>
      </c>
      <c r="AE97" s="36">
        <f t="shared" si="133"/>
        <v>2.46</v>
      </c>
      <c r="AF97" s="37">
        <f t="shared" ref="AF97:AF160" si="145">AE97*971</f>
        <v>2388.66</v>
      </c>
      <c r="AG97" s="28">
        <f t="shared" si="134"/>
        <v>10836.36</v>
      </c>
      <c r="AH97" s="28">
        <f t="shared" si="71"/>
        <v>13545.449999999999</v>
      </c>
      <c r="AI97" s="28">
        <f t="shared" si="71"/>
        <v>18060.599999999999</v>
      </c>
      <c r="AJ97" s="28">
        <f t="shared" si="71"/>
        <v>36121.199999999997</v>
      </c>
      <c r="AK97" s="38"/>
      <c r="AL97" s="39">
        <v>2.46</v>
      </c>
      <c r="AM97" s="40">
        <f t="shared" ref="AM97:AM160" si="146">AL97*62</f>
        <v>152.52000000000001</v>
      </c>
      <c r="AN97" s="28">
        <f t="shared" si="135"/>
        <v>691.92</v>
      </c>
      <c r="AO97" s="28">
        <f t="shared" si="73"/>
        <v>864.9</v>
      </c>
      <c r="AP97" s="28">
        <f t="shared" si="73"/>
        <v>1153.1999999999998</v>
      </c>
      <c r="AQ97" s="28">
        <f t="shared" si="73"/>
        <v>2306.3999999999996</v>
      </c>
      <c r="AS97" s="28">
        <f t="shared" si="136"/>
        <v>85.932000000000002</v>
      </c>
      <c r="AT97" s="28">
        <f t="shared" si="74"/>
        <v>107.41499999999999</v>
      </c>
      <c r="AU97" s="28">
        <f t="shared" si="74"/>
        <v>143.22</v>
      </c>
      <c r="AV97" s="28">
        <f t="shared" si="74"/>
        <v>286.44</v>
      </c>
      <c r="AX97" s="31">
        <f t="shared" si="137"/>
        <v>5580</v>
      </c>
      <c r="AY97" s="31">
        <f t="shared" si="75"/>
        <v>6975</v>
      </c>
      <c r="AZ97" s="31">
        <f t="shared" si="75"/>
        <v>9299.9999999999982</v>
      </c>
      <c r="BA97" s="31">
        <f t="shared" si="75"/>
        <v>18599.999999999996</v>
      </c>
      <c r="BD97" s="55">
        <f t="shared" si="82"/>
        <v>48.127499999999998</v>
      </c>
      <c r="BE97" s="55">
        <f t="shared" si="83"/>
        <v>64.17</v>
      </c>
      <c r="BF97" s="55">
        <f t="shared" si="84"/>
        <v>128.34</v>
      </c>
      <c r="BI97" s="55">
        <f t="shared" si="85"/>
        <v>250.40249999999997</v>
      </c>
      <c r="BJ97" s="55">
        <f t="shared" si="86"/>
        <v>333.86999999999995</v>
      </c>
      <c r="BK97" s="55">
        <f t="shared" si="87"/>
        <v>667.7399999999999</v>
      </c>
      <c r="BN97" s="56">
        <f t="shared" si="88"/>
        <v>89991.45</v>
      </c>
      <c r="BO97" s="56">
        <f t="shared" si="89"/>
        <v>119988.59999999999</v>
      </c>
      <c r="BP97" s="56">
        <f t="shared" si="90"/>
        <v>239977.19999999998</v>
      </c>
      <c r="BR97" s="54"/>
    </row>
    <row r="98" spans="1:70" x14ac:dyDescent="0.2">
      <c r="A98" s="14">
        <v>51200</v>
      </c>
      <c r="B98" s="21" t="s">
        <v>85</v>
      </c>
      <c r="C98" s="17" t="s">
        <v>8</v>
      </c>
      <c r="D98" s="17" t="s">
        <v>5</v>
      </c>
      <c r="E98" s="18">
        <v>0.82</v>
      </c>
      <c r="F98" s="19">
        <v>1.34</v>
      </c>
      <c r="G98" s="20" t="s">
        <v>13</v>
      </c>
      <c r="H98" s="11">
        <v>50</v>
      </c>
      <c r="I98" s="17">
        <f t="shared" ref="I98:I160" si="147">F98+0.68</f>
        <v>2.02</v>
      </c>
      <c r="J98" s="22">
        <f t="shared" si="138"/>
        <v>2.54</v>
      </c>
      <c r="K98" s="22">
        <f t="shared" si="139"/>
        <v>3.21</v>
      </c>
      <c r="L98" s="22">
        <f t="shared" si="127"/>
        <v>4.04</v>
      </c>
      <c r="M98" s="22">
        <f t="shared" si="128"/>
        <v>5.05</v>
      </c>
      <c r="N98" s="22">
        <f t="shared" si="129"/>
        <v>6.0600000000000005</v>
      </c>
      <c r="O98" s="22">
        <f t="shared" si="130"/>
        <v>7.07</v>
      </c>
      <c r="P98" s="30">
        <f t="shared" ref="P98:P160" si="148">T98*0.8</f>
        <v>12.12</v>
      </c>
      <c r="Q98" s="30">
        <f t="shared" si="140"/>
        <v>13.635</v>
      </c>
      <c r="R98" s="30">
        <f t="shared" si="141"/>
        <v>14.392499999999998</v>
      </c>
      <c r="S98" s="30">
        <f t="shared" si="142"/>
        <v>14.139999999999999</v>
      </c>
      <c r="T98" s="30">
        <f t="shared" ref="T98:T160" si="149">U98*0.75</f>
        <v>15.149999999999999</v>
      </c>
      <c r="U98" s="30">
        <f t="shared" si="143"/>
        <v>20.2</v>
      </c>
      <c r="V98" s="30">
        <f t="shared" si="144"/>
        <v>40.4</v>
      </c>
      <c r="W98" s="22"/>
      <c r="X98" s="23">
        <f t="shared" si="131"/>
        <v>28280</v>
      </c>
      <c r="Y98" s="23"/>
      <c r="Z98" s="23">
        <f t="shared" si="132"/>
        <v>48480</v>
      </c>
      <c r="AA98" s="23">
        <f t="shared" ref="AA98:AB158" si="150">T98*4000</f>
        <v>60599.999999999993</v>
      </c>
      <c r="AB98" s="23">
        <f t="shared" si="150"/>
        <v>80800</v>
      </c>
      <c r="AE98" s="36">
        <f t="shared" si="133"/>
        <v>2.62</v>
      </c>
      <c r="AF98" s="37">
        <f t="shared" si="145"/>
        <v>2544.02</v>
      </c>
      <c r="AG98" s="28">
        <f t="shared" si="134"/>
        <v>11768.519999999999</v>
      </c>
      <c r="AH98" s="28">
        <f t="shared" ref="AH98:AJ160" si="151">T98*971</f>
        <v>14710.649999999998</v>
      </c>
      <c r="AI98" s="28">
        <f t="shared" si="151"/>
        <v>19614.2</v>
      </c>
      <c r="AJ98" s="28">
        <f t="shared" si="151"/>
        <v>39228.400000000001</v>
      </c>
      <c r="AK98" s="38"/>
      <c r="AL98" s="39">
        <v>2.62</v>
      </c>
      <c r="AM98" s="40">
        <f t="shared" si="146"/>
        <v>162.44</v>
      </c>
      <c r="AN98" s="28">
        <f t="shared" si="135"/>
        <v>751.43999999999994</v>
      </c>
      <c r="AO98" s="28">
        <f t="shared" ref="AO98:AQ160" si="152">T98*62</f>
        <v>939.3</v>
      </c>
      <c r="AP98" s="28">
        <f t="shared" si="152"/>
        <v>1252.3999999999999</v>
      </c>
      <c r="AQ98" s="28">
        <f t="shared" si="152"/>
        <v>2504.7999999999997</v>
      </c>
      <c r="AS98" s="28">
        <f t="shared" si="136"/>
        <v>93.323999999999998</v>
      </c>
      <c r="AT98" s="28">
        <f t="shared" ref="AT98:AV160" si="153">T98*7.7</f>
        <v>116.65499999999999</v>
      </c>
      <c r="AU98" s="28">
        <f t="shared" si="153"/>
        <v>155.54</v>
      </c>
      <c r="AV98" s="28">
        <f t="shared" si="153"/>
        <v>311.08</v>
      </c>
      <c r="AX98" s="31">
        <f t="shared" si="137"/>
        <v>6060</v>
      </c>
      <c r="AY98" s="31">
        <f t="shared" ref="AY98:BA160" si="154">T98*500</f>
        <v>7574.9999999999991</v>
      </c>
      <c r="AZ98" s="31">
        <f t="shared" si="154"/>
        <v>10100</v>
      </c>
      <c r="BA98" s="31">
        <f t="shared" si="154"/>
        <v>20200</v>
      </c>
      <c r="BD98" s="55">
        <f t="shared" si="82"/>
        <v>52.267499999999998</v>
      </c>
      <c r="BE98" s="55">
        <f t="shared" si="83"/>
        <v>69.69</v>
      </c>
      <c r="BF98" s="55">
        <f t="shared" si="84"/>
        <v>139.38</v>
      </c>
      <c r="BI98" s="55">
        <f t="shared" si="85"/>
        <v>271.94249999999994</v>
      </c>
      <c r="BJ98" s="55">
        <f t="shared" si="86"/>
        <v>362.59</v>
      </c>
      <c r="BK98" s="55">
        <f t="shared" si="87"/>
        <v>725.18</v>
      </c>
      <c r="BN98" s="56">
        <f t="shared" si="88"/>
        <v>97732.65</v>
      </c>
      <c r="BO98" s="56">
        <f t="shared" si="89"/>
        <v>130310.2</v>
      </c>
      <c r="BP98" s="56">
        <f t="shared" si="90"/>
        <v>260620.4</v>
      </c>
      <c r="BR98" s="54"/>
    </row>
    <row r="99" spans="1:70" x14ac:dyDescent="0.2">
      <c r="A99" s="14">
        <v>51220</v>
      </c>
      <c r="B99" s="21" t="s">
        <v>86</v>
      </c>
      <c r="C99" s="17" t="s">
        <v>9</v>
      </c>
      <c r="D99" s="17" t="s">
        <v>5</v>
      </c>
      <c r="E99" s="18">
        <v>0.92</v>
      </c>
      <c r="F99" s="19">
        <v>1.71</v>
      </c>
      <c r="G99" s="20" t="s">
        <v>13</v>
      </c>
      <c r="H99" s="11">
        <v>50</v>
      </c>
      <c r="I99" s="17">
        <f t="shared" si="147"/>
        <v>2.39</v>
      </c>
      <c r="J99" s="22">
        <f t="shared" si="138"/>
        <v>2.91</v>
      </c>
      <c r="K99" s="22">
        <f t="shared" si="139"/>
        <v>3.58</v>
      </c>
      <c r="L99" s="22">
        <f t="shared" si="127"/>
        <v>4.78</v>
      </c>
      <c r="M99" s="22">
        <f t="shared" si="128"/>
        <v>5.9750000000000005</v>
      </c>
      <c r="N99" s="22">
        <f t="shared" si="129"/>
        <v>7.17</v>
      </c>
      <c r="O99" s="22">
        <f t="shared" si="130"/>
        <v>8.3650000000000002</v>
      </c>
      <c r="P99" s="30">
        <f t="shared" si="148"/>
        <v>14.340000000000002</v>
      </c>
      <c r="Q99" s="30">
        <f t="shared" si="140"/>
        <v>16.1325</v>
      </c>
      <c r="R99" s="30">
        <f t="shared" si="141"/>
        <v>17.028749999999999</v>
      </c>
      <c r="S99" s="30">
        <f t="shared" si="142"/>
        <v>16.73</v>
      </c>
      <c r="T99" s="30">
        <f t="shared" si="149"/>
        <v>17.925000000000001</v>
      </c>
      <c r="U99" s="30">
        <f t="shared" si="143"/>
        <v>23.900000000000002</v>
      </c>
      <c r="V99" s="30">
        <f t="shared" si="144"/>
        <v>47.800000000000004</v>
      </c>
      <c r="W99" s="22"/>
      <c r="X99" s="23">
        <f t="shared" si="131"/>
        <v>33460</v>
      </c>
      <c r="Y99" s="23"/>
      <c r="Z99" s="23">
        <f t="shared" si="132"/>
        <v>57360.000000000007</v>
      </c>
      <c r="AA99" s="23">
        <f t="shared" si="150"/>
        <v>71700</v>
      </c>
      <c r="AB99" s="23">
        <f t="shared" si="150"/>
        <v>95600.000000000015</v>
      </c>
      <c r="AE99" s="36">
        <f t="shared" si="133"/>
        <v>2.99</v>
      </c>
      <c r="AF99" s="37">
        <f t="shared" si="145"/>
        <v>2903.2900000000004</v>
      </c>
      <c r="AG99" s="28">
        <f t="shared" si="134"/>
        <v>13924.140000000001</v>
      </c>
      <c r="AH99" s="28">
        <f t="shared" si="151"/>
        <v>17405.174999999999</v>
      </c>
      <c r="AI99" s="28">
        <f t="shared" si="151"/>
        <v>23206.9</v>
      </c>
      <c r="AJ99" s="28">
        <f t="shared" si="151"/>
        <v>46413.8</v>
      </c>
      <c r="AK99" s="38"/>
      <c r="AL99" s="39">
        <v>2.99</v>
      </c>
      <c r="AM99" s="40">
        <f t="shared" si="146"/>
        <v>185.38000000000002</v>
      </c>
      <c r="AN99" s="28">
        <f t="shared" si="135"/>
        <v>889.08000000000015</v>
      </c>
      <c r="AO99" s="28">
        <f t="shared" si="152"/>
        <v>1111.3500000000001</v>
      </c>
      <c r="AP99" s="28">
        <f t="shared" si="152"/>
        <v>1481.8000000000002</v>
      </c>
      <c r="AQ99" s="28">
        <f t="shared" si="152"/>
        <v>2963.6000000000004</v>
      </c>
      <c r="AS99" s="28">
        <f t="shared" si="136"/>
        <v>110.41800000000002</v>
      </c>
      <c r="AT99" s="28">
        <f t="shared" si="153"/>
        <v>138.02250000000001</v>
      </c>
      <c r="AU99" s="28">
        <f t="shared" si="153"/>
        <v>184.03000000000003</v>
      </c>
      <c r="AV99" s="28">
        <f t="shared" si="153"/>
        <v>368.06000000000006</v>
      </c>
      <c r="AX99" s="31">
        <f t="shared" si="137"/>
        <v>7170.0000000000009</v>
      </c>
      <c r="AY99" s="31">
        <f t="shared" si="154"/>
        <v>8962.5</v>
      </c>
      <c r="AZ99" s="31">
        <f t="shared" si="154"/>
        <v>11950.000000000002</v>
      </c>
      <c r="BA99" s="31">
        <f t="shared" si="154"/>
        <v>23900.000000000004</v>
      </c>
      <c r="BD99" s="55">
        <f t="shared" si="82"/>
        <v>61.841250000000002</v>
      </c>
      <c r="BE99" s="55">
        <f t="shared" si="83"/>
        <v>82.455000000000013</v>
      </c>
      <c r="BF99" s="55">
        <f t="shared" si="84"/>
        <v>164.91000000000003</v>
      </c>
      <c r="BI99" s="55">
        <f t="shared" si="85"/>
        <v>321.75375000000003</v>
      </c>
      <c r="BJ99" s="55">
        <f t="shared" si="86"/>
        <v>429.005</v>
      </c>
      <c r="BK99" s="55">
        <f t="shared" si="87"/>
        <v>858.01</v>
      </c>
      <c r="BN99" s="56">
        <f t="shared" si="88"/>
        <v>115634.175</v>
      </c>
      <c r="BO99" s="56">
        <f t="shared" si="89"/>
        <v>154178.90000000002</v>
      </c>
      <c r="BP99" s="56">
        <f t="shared" si="90"/>
        <v>308357.80000000005</v>
      </c>
      <c r="BR99" s="54"/>
    </row>
    <row r="100" spans="1:70" x14ac:dyDescent="0.2">
      <c r="A100" s="14">
        <v>52287</v>
      </c>
      <c r="B100" s="21" t="s">
        <v>87</v>
      </c>
      <c r="C100" s="17" t="s">
        <v>4</v>
      </c>
      <c r="D100" s="17" t="s">
        <v>5</v>
      </c>
      <c r="E100" s="18">
        <v>0.72</v>
      </c>
      <c r="F100" s="24">
        <v>1.18</v>
      </c>
      <c r="G100" s="20" t="s">
        <v>6</v>
      </c>
      <c r="H100" s="11">
        <v>50</v>
      </c>
      <c r="I100" s="17">
        <f t="shared" si="147"/>
        <v>1.8599999999999999</v>
      </c>
      <c r="J100" s="22">
        <f t="shared" si="138"/>
        <v>2.38</v>
      </c>
      <c r="K100" s="22">
        <f t="shared" si="139"/>
        <v>3.05</v>
      </c>
      <c r="L100" s="22">
        <f t="shared" si="127"/>
        <v>3.7199999999999998</v>
      </c>
      <c r="M100" s="22">
        <f t="shared" si="128"/>
        <v>4.6499999999999995</v>
      </c>
      <c r="N100" s="22">
        <f t="shared" si="129"/>
        <v>5.58</v>
      </c>
      <c r="O100" s="22">
        <f t="shared" si="130"/>
        <v>6.51</v>
      </c>
      <c r="P100" s="30">
        <f t="shared" si="148"/>
        <v>11.16</v>
      </c>
      <c r="Q100" s="30">
        <f t="shared" si="140"/>
        <v>12.555</v>
      </c>
      <c r="R100" s="30">
        <f t="shared" si="141"/>
        <v>13.2525</v>
      </c>
      <c r="S100" s="30">
        <f t="shared" si="142"/>
        <v>13.019999999999998</v>
      </c>
      <c r="T100" s="30">
        <f t="shared" si="149"/>
        <v>13.95</v>
      </c>
      <c r="U100" s="30">
        <f t="shared" si="143"/>
        <v>18.599999999999998</v>
      </c>
      <c r="V100" s="30">
        <f t="shared" si="144"/>
        <v>37.199999999999996</v>
      </c>
      <c r="W100" s="22"/>
      <c r="X100" s="23">
        <f t="shared" si="131"/>
        <v>26040</v>
      </c>
      <c r="Y100" s="23"/>
      <c r="Z100" s="23">
        <f t="shared" si="132"/>
        <v>44640</v>
      </c>
      <c r="AA100" s="23">
        <f t="shared" si="150"/>
        <v>55800</v>
      </c>
      <c r="AB100" s="23">
        <f t="shared" si="150"/>
        <v>74399.999999999985</v>
      </c>
      <c r="AE100" s="36">
        <f t="shared" si="133"/>
        <v>2.46</v>
      </c>
      <c r="AF100" s="37">
        <f t="shared" si="145"/>
        <v>2388.66</v>
      </c>
      <c r="AG100" s="28">
        <f t="shared" si="134"/>
        <v>10836.36</v>
      </c>
      <c r="AH100" s="28">
        <f t="shared" si="151"/>
        <v>13545.449999999999</v>
      </c>
      <c r="AI100" s="28">
        <f t="shared" si="151"/>
        <v>18060.599999999999</v>
      </c>
      <c r="AJ100" s="28">
        <f t="shared" si="151"/>
        <v>36121.199999999997</v>
      </c>
      <c r="AK100" s="38"/>
      <c r="AL100" s="39">
        <v>2.46</v>
      </c>
      <c r="AM100" s="40">
        <f t="shared" si="146"/>
        <v>152.52000000000001</v>
      </c>
      <c r="AN100" s="28">
        <f t="shared" si="135"/>
        <v>691.92</v>
      </c>
      <c r="AO100" s="28">
        <f t="shared" si="152"/>
        <v>864.9</v>
      </c>
      <c r="AP100" s="28">
        <f t="shared" si="152"/>
        <v>1153.1999999999998</v>
      </c>
      <c r="AQ100" s="28">
        <f t="shared" si="152"/>
        <v>2306.3999999999996</v>
      </c>
      <c r="AS100" s="28">
        <f t="shared" si="136"/>
        <v>85.932000000000002</v>
      </c>
      <c r="AT100" s="28">
        <f t="shared" si="153"/>
        <v>107.41499999999999</v>
      </c>
      <c r="AU100" s="28">
        <f t="shared" si="153"/>
        <v>143.22</v>
      </c>
      <c r="AV100" s="28">
        <f t="shared" si="153"/>
        <v>286.44</v>
      </c>
      <c r="AX100" s="31">
        <f t="shared" si="137"/>
        <v>5580</v>
      </c>
      <c r="AY100" s="31">
        <f t="shared" si="154"/>
        <v>6975</v>
      </c>
      <c r="AZ100" s="31">
        <f t="shared" si="154"/>
        <v>9299.9999999999982</v>
      </c>
      <c r="BA100" s="31">
        <f t="shared" si="154"/>
        <v>18599.999999999996</v>
      </c>
      <c r="BD100" s="55">
        <f t="shared" si="82"/>
        <v>48.127499999999998</v>
      </c>
      <c r="BE100" s="55">
        <f t="shared" si="83"/>
        <v>64.17</v>
      </c>
      <c r="BF100" s="55">
        <f t="shared" si="84"/>
        <v>128.34</v>
      </c>
      <c r="BI100" s="55">
        <f t="shared" si="85"/>
        <v>250.40249999999997</v>
      </c>
      <c r="BJ100" s="55">
        <f t="shared" si="86"/>
        <v>333.86999999999995</v>
      </c>
      <c r="BK100" s="55">
        <f t="shared" si="87"/>
        <v>667.7399999999999</v>
      </c>
      <c r="BN100" s="56">
        <f t="shared" si="88"/>
        <v>89991.45</v>
      </c>
      <c r="BO100" s="56">
        <f t="shared" si="89"/>
        <v>119988.59999999999</v>
      </c>
      <c r="BP100" s="56">
        <f t="shared" si="90"/>
        <v>239977.19999999998</v>
      </c>
      <c r="BR100" s="54"/>
    </row>
    <row r="101" spans="1:70" x14ac:dyDescent="0.2">
      <c r="A101" s="14">
        <v>52300</v>
      </c>
      <c r="B101" s="21" t="s">
        <v>88</v>
      </c>
      <c r="C101" s="17" t="s">
        <v>8</v>
      </c>
      <c r="D101" s="17" t="s">
        <v>5</v>
      </c>
      <c r="E101" s="18">
        <v>0.82</v>
      </c>
      <c r="F101" s="24">
        <v>1.34</v>
      </c>
      <c r="G101" s="20" t="s">
        <v>6</v>
      </c>
      <c r="H101" s="11">
        <v>50</v>
      </c>
      <c r="I101" s="17">
        <f t="shared" si="147"/>
        <v>2.02</v>
      </c>
      <c r="J101" s="22">
        <f t="shared" si="138"/>
        <v>2.54</v>
      </c>
      <c r="K101" s="22">
        <f t="shared" si="139"/>
        <v>3.21</v>
      </c>
      <c r="L101" s="22">
        <f t="shared" si="127"/>
        <v>4.04</v>
      </c>
      <c r="M101" s="22">
        <f t="shared" si="128"/>
        <v>5.05</v>
      </c>
      <c r="N101" s="22">
        <f t="shared" si="129"/>
        <v>6.0600000000000005</v>
      </c>
      <c r="O101" s="22">
        <f t="shared" si="130"/>
        <v>7.07</v>
      </c>
      <c r="P101" s="30">
        <f t="shared" si="148"/>
        <v>12.12</v>
      </c>
      <c r="Q101" s="30">
        <f t="shared" si="140"/>
        <v>13.635</v>
      </c>
      <c r="R101" s="30">
        <f t="shared" si="141"/>
        <v>14.392499999999998</v>
      </c>
      <c r="S101" s="30">
        <f t="shared" si="142"/>
        <v>14.139999999999999</v>
      </c>
      <c r="T101" s="30">
        <f t="shared" si="149"/>
        <v>15.149999999999999</v>
      </c>
      <c r="U101" s="30">
        <f t="shared" si="143"/>
        <v>20.2</v>
      </c>
      <c r="V101" s="30">
        <f t="shared" si="144"/>
        <v>40.4</v>
      </c>
      <c r="W101" s="22"/>
      <c r="X101" s="23">
        <f t="shared" si="131"/>
        <v>28280</v>
      </c>
      <c r="Y101" s="23"/>
      <c r="Z101" s="23">
        <f t="shared" si="132"/>
        <v>48480</v>
      </c>
      <c r="AA101" s="23">
        <f t="shared" si="150"/>
        <v>60599.999999999993</v>
      </c>
      <c r="AB101" s="23">
        <f t="shared" si="150"/>
        <v>80800</v>
      </c>
      <c r="AE101" s="36">
        <f t="shared" si="133"/>
        <v>2.62</v>
      </c>
      <c r="AF101" s="37">
        <f t="shared" si="145"/>
        <v>2544.02</v>
      </c>
      <c r="AG101" s="28">
        <f t="shared" si="134"/>
        <v>11768.519999999999</v>
      </c>
      <c r="AH101" s="28">
        <f t="shared" si="151"/>
        <v>14710.649999999998</v>
      </c>
      <c r="AI101" s="28">
        <f t="shared" si="151"/>
        <v>19614.2</v>
      </c>
      <c r="AJ101" s="28">
        <f t="shared" si="151"/>
        <v>39228.400000000001</v>
      </c>
      <c r="AK101" s="38"/>
      <c r="AL101" s="39">
        <v>2.62</v>
      </c>
      <c r="AM101" s="40">
        <f t="shared" si="146"/>
        <v>162.44</v>
      </c>
      <c r="AN101" s="28">
        <f t="shared" si="135"/>
        <v>751.43999999999994</v>
      </c>
      <c r="AO101" s="28">
        <f t="shared" si="152"/>
        <v>939.3</v>
      </c>
      <c r="AP101" s="28">
        <f t="shared" si="152"/>
        <v>1252.3999999999999</v>
      </c>
      <c r="AQ101" s="28">
        <f t="shared" si="152"/>
        <v>2504.7999999999997</v>
      </c>
      <c r="AS101" s="28">
        <f t="shared" si="136"/>
        <v>93.323999999999998</v>
      </c>
      <c r="AT101" s="28">
        <f t="shared" si="153"/>
        <v>116.65499999999999</v>
      </c>
      <c r="AU101" s="28">
        <f t="shared" si="153"/>
        <v>155.54</v>
      </c>
      <c r="AV101" s="28">
        <f t="shared" si="153"/>
        <v>311.08</v>
      </c>
      <c r="AX101" s="31">
        <f t="shared" si="137"/>
        <v>6060</v>
      </c>
      <c r="AY101" s="31">
        <f t="shared" si="154"/>
        <v>7574.9999999999991</v>
      </c>
      <c r="AZ101" s="31">
        <f t="shared" si="154"/>
        <v>10100</v>
      </c>
      <c r="BA101" s="31">
        <f t="shared" si="154"/>
        <v>20200</v>
      </c>
      <c r="BD101" s="55">
        <f t="shared" si="82"/>
        <v>52.267499999999998</v>
      </c>
      <c r="BE101" s="55">
        <f t="shared" si="83"/>
        <v>69.69</v>
      </c>
      <c r="BF101" s="55">
        <f t="shared" si="84"/>
        <v>139.38</v>
      </c>
      <c r="BI101" s="55">
        <f t="shared" si="85"/>
        <v>271.94249999999994</v>
      </c>
      <c r="BJ101" s="55">
        <f t="shared" si="86"/>
        <v>362.59</v>
      </c>
      <c r="BK101" s="55">
        <f t="shared" si="87"/>
        <v>725.18</v>
      </c>
      <c r="BN101" s="56">
        <f t="shared" si="88"/>
        <v>97732.65</v>
      </c>
      <c r="BO101" s="56">
        <f t="shared" si="89"/>
        <v>130310.2</v>
      </c>
      <c r="BP101" s="56">
        <f t="shared" si="90"/>
        <v>260620.4</v>
      </c>
      <c r="BR101" s="54"/>
    </row>
    <row r="102" spans="1:70" x14ac:dyDescent="0.2">
      <c r="A102" s="14">
        <v>52320</v>
      </c>
      <c r="B102" s="21" t="s">
        <v>89</v>
      </c>
      <c r="C102" s="17" t="s">
        <v>9</v>
      </c>
      <c r="D102" s="17" t="s">
        <v>5</v>
      </c>
      <c r="E102" s="18">
        <v>0.92</v>
      </c>
      <c r="F102" s="24">
        <v>1.71</v>
      </c>
      <c r="G102" s="20" t="s">
        <v>6</v>
      </c>
      <c r="H102" s="11">
        <v>50</v>
      </c>
      <c r="I102" s="17">
        <f t="shared" si="147"/>
        <v>2.39</v>
      </c>
      <c r="J102" s="22">
        <f t="shared" si="138"/>
        <v>2.91</v>
      </c>
      <c r="K102" s="22">
        <f t="shared" si="139"/>
        <v>3.58</v>
      </c>
      <c r="L102" s="22">
        <f t="shared" si="127"/>
        <v>4.78</v>
      </c>
      <c r="M102" s="22">
        <f t="shared" si="128"/>
        <v>5.9750000000000005</v>
      </c>
      <c r="N102" s="22">
        <f t="shared" si="129"/>
        <v>7.17</v>
      </c>
      <c r="O102" s="22">
        <f t="shared" si="130"/>
        <v>8.3650000000000002</v>
      </c>
      <c r="P102" s="30">
        <f t="shared" si="148"/>
        <v>14.340000000000002</v>
      </c>
      <c r="Q102" s="30">
        <f t="shared" si="140"/>
        <v>16.1325</v>
      </c>
      <c r="R102" s="30">
        <f t="shared" si="141"/>
        <v>17.028749999999999</v>
      </c>
      <c r="S102" s="30">
        <f t="shared" si="142"/>
        <v>16.73</v>
      </c>
      <c r="T102" s="30">
        <f t="shared" si="149"/>
        <v>17.925000000000001</v>
      </c>
      <c r="U102" s="30">
        <f t="shared" si="143"/>
        <v>23.900000000000002</v>
      </c>
      <c r="V102" s="30">
        <f t="shared" si="144"/>
        <v>47.800000000000004</v>
      </c>
      <c r="W102" s="22"/>
      <c r="X102" s="23">
        <f t="shared" si="131"/>
        <v>33460</v>
      </c>
      <c r="Y102" s="23"/>
      <c r="Z102" s="23">
        <f t="shared" si="132"/>
        <v>57360.000000000007</v>
      </c>
      <c r="AA102" s="23">
        <f t="shared" si="150"/>
        <v>71700</v>
      </c>
      <c r="AB102" s="23">
        <f t="shared" si="150"/>
        <v>95600.000000000015</v>
      </c>
      <c r="AE102" s="36">
        <f t="shared" si="133"/>
        <v>2.99</v>
      </c>
      <c r="AF102" s="37">
        <f t="shared" si="145"/>
        <v>2903.2900000000004</v>
      </c>
      <c r="AG102" s="28">
        <f t="shared" si="134"/>
        <v>13924.140000000001</v>
      </c>
      <c r="AH102" s="28">
        <f t="shared" si="151"/>
        <v>17405.174999999999</v>
      </c>
      <c r="AI102" s="28">
        <f t="shared" si="151"/>
        <v>23206.9</v>
      </c>
      <c r="AJ102" s="28">
        <f t="shared" si="151"/>
        <v>46413.8</v>
      </c>
      <c r="AK102" s="38"/>
      <c r="AL102" s="39">
        <v>2.99</v>
      </c>
      <c r="AM102" s="40">
        <f t="shared" si="146"/>
        <v>185.38000000000002</v>
      </c>
      <c r="AN102" s="28">
        <f t="shared" si="135"/>
        <v>889.08000000000015</v>
      </c>
      <c r="AO102" s="28">
        <f t="shared" si="152"/>
        <v>1111.3500000000001</v>
      </c>
      <c r="AP102" s="28">
        <f t="shared" si="152"/>
        <v>1481.8000000000002</v>
      </c>
      <c r="AQ102" s="28">
        <f t="shared" si="152"/>
        <v>2963.6000000000004</v>
      </c>
      <c r="AS102" s="28">
        <f t="shared" si="136"/>
        <v>110.41800000000002</v>
      </c>
      <c r="AT102" s="28">
        <f t="shared" si="153"/>
        <v>138.02250000000001</v>
      </c>
      <c r="AU102" s="28">
        <f t="shared" si="153"/>
        <v>184.03000000000003</v>
      </c>
      <c r="AV102" s="28">
        <f t="shared" si="153"/>
        <v>368.06000000000006</v>
      </c>
      <c r="AX102" s="31">
        <f t="shared" si="137"/>
        <v>7170.0000000000009</v>
      </c>
      <c r="AY102" s="31">
        <f t="shared" si="154"/>
        <v>8962.5</v>
      </c>
      <c r="AZ102" s="31">
        <f t="shared" si="154"/>
        <v>11950.000000000002</v>
      </c>
      <c r="BA102" s="31">
        <f t="shared" si="154"/>
        <v>23900.000000000004</v>
      </c>
      <c r="BD102" s="55">
        <f t="shared" si="82"/>
        <v>61.841250000000002</v>
      </c>
      <c r="BE102" s="55">
        <f t="shared" si="83"/>
        <v>82.455000000000013</v>
      </c>
      <c r="BF102" s="55">
        <f t="shared" si="84"/>
        <v>164.91000000000003</v>
      </c>
      <c r="BI102" s="55">
        <f t="shared" si="85"/>
        <v>321.75375000000003</v>
      </c>
      <c r="BJ102" s="55">
        <f t="shared" si="86"/>
        <v>429.005</v>
      </c>
      <c r="BK102" s="55">
        <f t="shared" si="87"/>
        <v>858.01</v>
      </c>
      <c r="BN102" s="56">
        <f t="shared" si="88"/>
        <v>115634.175</v>
      </c>
      <c r="BO102" s="56">
        <f t="shared" si="89"/>
        <v>154178.90000000002</v>
      </c>
      <c r="BP102" s="56">
        <f t="shared" si="90"/>
        <v>308357.80000000005</v>
      </c>
      <c r="BR102" s="54"/>
    </row>
    <row r="103" spans="1:70" x14ac:dyDescent="0.2">
      <c r="A103" s="14">
        <v>52387</v>
      </c>
      <c r="B103" s="58" t="s">
        <v>236</v>
      </c>
      <c r="C103" s="17"/>
      <c r="D103" s="59" t="s">
        <v>20</v>
      </c>
      <c r="E103" s="18"/>
      <c r="F103" s="24">
        <v>1.53</v>
      </c>
      <c r="G103" s="20"/>
      <c r="H103" s="11"/>
      <c r="I103" s="17">
        <f t="shared" si="147"/>
        <v>2.21</v>
      </c>
      <c r="J103" s="22">
        <f t="shared" si="138"/>
        <v>2.73</v>
      </c>
      <c r="K103" s="22">
        <f t="shared" si="139"/>
        <v>3.4000000000000004</v>
      </c>
      <c r="L103" s="22">
        <f t="shared" si="127"/>
        <v>4.42</v>
      </c>
      <c r="M103" s="22">
        <f t="shared" si="128"/>
        <v>5.5250000000000004</v>
      </c>
      <c r="N103" s="22">
        <f t="shared" si="129"/>
        <v>6.63</v>
      </c>
      <c r="O103" s="22">
        <f t="shared" si="130"/>
        <v>7.7349999999999994</v>
      </c>
      <c r="P103" s="30">
        <f t="shared" si="148"/>
        <v>13.260000000000003</v>
      </c>
      <c r="Q103" s="30">
        <f t="shared" si="140"/>
        <v>14.917500000000002</v>
      </c>
      <c r="R103" s="30">
        <f t="shared" si="141"/>
        <v>15.746250000000002</v>
      </c>
      <c r="S103" s="30">
        <f t="shared" si="142"/>
        <v>15.47</v>
      </c>
      <c r="T103" s="30">
        <f t="shared" si="149"/>
        <v>16.575000000000003</v>
      </c>
      <c r="U103" s="30">
        <f t="shared" si="143"/>
        <v>22.1</v>
      </c>
      <c r="V103" s="30">
        <f t="shared" si="144"/>
        <v>44.2</v>
      </c>
      <c r="W103" s="22"/>
      <c r="X103" s="23">
        <f t="shared" si="131"/>
        <v>30939.999999999996</v>
      </c>
      <c r="Y103" s="23"/>
      <c r="Z103" s="23">
        <f t="shared" si="132"/>
        <v>53040.000000000015</v>
      </c>
      <c r="AA103" s="23">
        <f t="shared" si="150"/>
        <v>66300.000000000015</v>
      </c>
      <c r="AB103" s="23">
        <f t="shared" si="150"/>
        <v>88400</v>
      </c>
      <c r="AE103" s="36">
        <f t="shared" si="133"/>
        <v>2.81</v>
      </c>
      <c r="AF103" s="37">
        <f t="shared" si="145"/>
        <v>2728.51</v>
      </c>
      <c r="AG103" s="28">
        <f t="shared" si="134"/>
        <v>12875.460000000003</v>
      </c>
      <c r="AH103" s="28">
        <f t="shared" si="151"/>
        <v>16094.325000000003</v>
      </c>
      <c r="AI103" s="28">
        <f t="shared" si="151"/>
        <v>21459.100000000002</v>
      </c>
      <c r="AJ103" s="28">
        <f t="shared" si="151"/>
        <v>42918.200000000004</v>
      </c>
      <c r="AK103" s="38"/>
      <c r="AL103" s="39"/>
      <c r="AM103" s="40"/>
      <c r="AN103" s="28">
        <f t="shared" si="135"/>
        <v>822.12000000000023</v>
      </c>
      <c r="AO103" s="28">
        <f t="shared" si="152"/>
        <v>1027.6500000000001</v>
      </c>
      <c r="AP103" s="28">
        <f t="shared" si="152"/>
        <v>1370.2</v>
      </c>
      <c r="AQ103" s="28">
        <f t="shared" si="152"/>
        <v>2740.4</v>
      </c>
      <c r="AS103" s="28">
        <f t="shared" si="136"/>
        <v>102.10200000000003</v>
      </c>
      <c r="AT103" s="28">
        <f t="shared" si="153"/>
        <v>127.62750000000003</v>
      </c>
      <c r="AU103" s="28">
        <f t="shared" si="153"/>
        <v>170.17000000000002</v>
      </c>
      <c r="AV103" s="28">
        <f t="shared" si="153"/>
        <v>340.34000000000003</v>
      </c>
      <c r="AX103" s="31">
        <f t="shared" si="137"/>
        <v>6630.0000000000018</v>
      </c>
      <c r="AY103" s="31">
        <f t="shared" si="154"/>
        <v>8287.5000000000018</v>
      </c>
      <c r="AZ103" s="31">
        <f t="shared" si="154"/>
        <v>11050</v>
      </c>
      <c r="BA103" s="31">
        <f t="shared" si="154"/>
        <v>22100</v>
      </c>
      <c r="BD103" s="55">
        <f t="shared" si="82"/>
        <v>57.183750000000011</v>
      </c>
      <c r="BE103" s="55">
        <f t="shared" si="83"/>
        <v>76.245000000000005</v>
      </c>
      <c r="BF103" s="55">
        <f t="shared" si="84"/>
        <v>152.49</v>
      </c>
      <c r="BI103" s="55">
        <f t="shared" si="85"/>
        <v>297.52125000000007</v>
      </c>
      <c r="BJ103" s="55">
        <f t="shared" si="86"/>
        <v>396.69499999999999</v>
      </c>
      <c r="BK103" s="55">
        <f t="shared" si="87"/>
        <v>793.39</v>
      </c>
      <c r="BN103" s="56">
        <f t="shared" si="88"/>
        <v>106925.32500000001</v>
      </c>
      <c r="BO103" s="56">
        <f t="shared" si="89"/>
        <v>142567.1</v>
      </c>
      <c r="BP103" s="56">
        <f t="shared" si="90"/>
        <v>285134.2</v>
      </c>
      <c r="BR103" s="54"/>
    </row>
    <row r="104" spans="1:70" x14ac:dyDescent="0.2">
      <c r="A104" s="14">
        <v>52390</v>
      </c>
      <c r="B104" s="21" t="s">
        <v>90</v>
      </c>
      <c r="C104" s="17" t="s">
        <v>4</v>
      </c>
      <c r="D104" s="17" t="s">
        <v>5</v>
      </c>
      <c r="E104" s="18">
        <v>0.99</v>
      </c>
      <c r="F104" s="25">
        <v>1.46</v>
      </c>
      <c r="G104" s="20" t="s">
        <v>6</v>
      </c>
      <c r="H104" s="11">
        <v>50</v>
      </c>
      <c r="I104" s="17">
        <f t="shared" si="147"/>
        <v>2.14</v>
      </c>
      <c r="J104" s="22">
        <f t="shared" si="138"/>
        <v>2.66</v>
      </c>
      <c r="K104" s="22">
        <f t="shared" si="139"/>
        <v>3.33</v>
      </c>
      <c r="L104" s="22">
        <f t="shared" si="127"/>
        <v>4.28</v>
      </c>
      <c r="M104" s="22">
        <f t="shared" si="128"/>
        <v>5.3500000000000005</v>
      </c>
      <c r="N104" s="22">
        <f t="shared" si="129"/>
        <v>6.42</v>
      </c>
      <c r="O104" s="22">
        <f t="shared" si="130"/>
        <v>7.49</v>
      </c>
      <c r="P104" s="30">
        <f t="shared" si="148"/>
        <v>12.840000000000002</v>
      </c>
      <c r="Q104" s="30">
        <f t="shared" si="140"/>
        <v>14.445</v>
      </c>
      <c r="R104" s="30">
        <f t="shared" si="141"/>
        <v>15.2475</v>
      </c>
      <c r="S104" s="30">
        <f t="shared" si="142"/>
        <v>14.98</v>
      </c>
      <c r="T104" s="30">
        <f t="shared" si="149"/>
        <v>16.05</v>
      </c>
      <c r="U104" s="30">
        <f t="shared" si="143"/>
        <v>21.400000000000002</v>
      </c>
      <c r="V104" s="30">
        <f t="shared" si="144"/>
        <v>42.800000000000004</v>
      </c>
      <c r="W104" s="22"/>
      <c r="X104" s="23">
        <f t="shared" si="131"/>
        <v>29960</v>
      </c>
      <c r="Y104" s="23"/>
      <c r="Z104" s="23">
        <f t="shared" si="132"/>
        <v>51360.000000000007</v>
      </c>
      <c r="AA104" s="23">
        <f t="shared" si="150"/>
        <v>64200</v>
      </c>
      <c r="AB104" s="23">
        <f t="shared" si="150"/>
        <v>85600.000000000015</v>
      </c>
      <c r="AE104" s="36">
        <f t="shared" si="133"/>
        <v>2.74</v>
      </c>
      <c r="AF104" s="37">
        <f t="shared" si="145"/>
        <v>2660.5400000000004</v>
      </c>
      <c r="AG104" s="28">
        <f t="shared" si="134"/>
        <v>12467.640000000001</v>
      </c>
      <c r="AH104" s="28">
        <f t="shared" si="151"/>
        <v>15584.550000000001</v>
      </c>
      <c r="AI104" s="28">
        <f t="shared" si="151"/>
        <v>20779.400000000001</v>
      </c>
      <c r="AJ104" s="28">
        <f t="shared" si="151"/>
        <v>41558.800000000003</v>
      </c>
      <c r="AK104" s="38"/>
      <c r="AL104" s="39">
        <v>2.74</v>
      </c>
      <c r="AM104" s="40">
        <f t="shared" si="146"/>
        <v>169.88000000000002</v>
      </c>
      <c r="AN104" s="28">
        <f t="shared" si="135"/>
        <v>796.08000000000015</v>
      </c>
      <c r="AO104" s="28">
        <f t="shared" si="152"/>
        <v>995.1</v>
      </c>
      <c r="AP104" s="28">
        <f t="shared" si="152"/>
        <v>1326.8000000000002</v>
      </c>
      <c r="AQ104" s="28">
        <f t="shared" si="152"/>
        <v>2653.6000000000004</v>
      </c>
      <c r="AS104" s="28">
        <f t="shared" si="136"/>
        <v>98.868000000000009</v>
      </c>
      <c r="AT104" s="28">
        <f t="shared" si="153"/>
        <v>123.58500000000001</v>
      </c>
      <c r="AU104" s="28">
        <f t="shared" si="153"/>
        <v>164.78000000000003</v>
      </c>
      <c r="AV104" s="28">
        <f t="shared" si="153"/>
        <v>329.56000000000006</v>
      </c>
      <c r="AX104" s="31">
        <f t="shared" si="137"/>
        <v>6420.0000000000009</v>
      </c>
      <c r="AY104" s="31">
        <f t="shared" si="154"/>
        <v>8025</v>
      </c>
      <c r="AZ104" s="31">
        <f t="shared" si="154"/>
        <v>10700.000000000002</v>
      </c>
      <c r="BA104" s="31">
        <f t="shared" si="154"/>
        <v>21400.000000000004</v>
      </c>
      <c r="BD104" s="55">
        <f t="shared" si="82"/>
        <v>55.372500000000002</v>
      </c>
      <c r="BE104" s="55">
        <f t="shared" si="83"/>
        <v>73.830000000000013</v>
      </c>
      <c r="BF104" s="55">
        <f t="shared" si="84"/>
        <v>147.66000000000003</v>
      </c>
      <c r="BI104" s="55">
        <f t="shared" si="85"/>
        <v>288.09750000000003</v>
      </c>
      <c r="BJ104" s="55">
        <f t="shared" si="86"/>
        <v>384.13</v>
      </c>
      <c r="BK104" s="55">
        <f t="shared" si="87"/>
        <v>768.26</v>
      </c>
      <c r="BN104" s="56">
        <f t="shared" si="88"/>
        <v>103538.55</v>
      </c>
      <c r="BO104" s="56">
        <f t="shared" si="89"/>
        <v>138051.40000000002</v>
      </c>
      <c r="BP104" s="56">
        <f t="shared" si="90"/>
        <v>276102.80000000005</v>
      </c>
      <c r="BR104" s="54"/>
    </row>
    <row r="105" spans="1:70" x14ac:dyDescent="0.2">
      <c r="A105" s="14">
        <v>52395</v>
      </c>
      <c r="B105" s="21" t="s">
        <v>91</v>
      </c>
      <c r="C105" s="17" t="s">
        <v>8</v>
      </c>
      <c r="D105" s="17" t="s">
        <v>5</v>
      </c>
      <c r="E105" s="18">
        <v>1.24</v>
      </c>
      <c r="F105" s="25">
        <v>1.78</v>
      </c>
      <c r="G105" s="20" t="s">
        <v>6</v>
      </c>
      <c r="H105" s="11">
        <v>50</v>
      </c>
      <c r="I105" s="17">
        <f t="shared" si="147"/>
        <v>2.46</v>
      </c>
      <c r="J105" s="22">
        <f t="shared" si="138"/>
        <v>2.98</v>
      </c>
      <c r="K105" s="22">
        <f t="shared" si="139"/>
        <v>3.6500000000000004</v>
      </c>
      <c r="L105" s="22">
        <f t="shared" si="127"/>
        <v>4.92</v>
      </c>
      <c r="M105" s="22">
        <f t="shared" si="128"/>
        <v>6.15</v>
      </c>
      <c r="N105" s="22">
        <f t="shared" si="129"/>
        <v>7.38</v>
      </c>
      <c r="O105" s="22">
        <f t="shared" si="130"/>
        <v>8.61</v>
      </c>
      <c r="P105" s="30">
        <f t="shared" si="148"/>
        <v>14.760000000000003</v>
      </c>
      <c r="Q105" s="30">
        <f t="shared" si="140"/>
        <v>16.605000000000004</v>
      </c>
      <c r="R105" s="30">
        <f t="shared" si="141"/>
        <v>17.527500000000003</v>
      </c>
      <c r="S105" s="30">
        <f t="shared" si="142"/>
        <v>17.22</v>
      </c>
      <c r="T105" s="30">
        <f t="shared" si="149"/>
        <v>18.450000000000003</v>
      </c>
      <c r="U105" s="30">
        <f t="shared" si="143"/>
        <v>24.6</v>
      </c>
      <c r="V105" s="30">
        <f t="shared" si="144"/>
        <v>49.2</v>
      </c>
      <c r="W105" s="22"/>
      <c r="X105" s="23">
        <f t="shared" si="131"/>
        <v>34440</v>
      </c>
      <c r="Y105" s="23"/>
      <c r="Z105" s="23">
        <f t="shared" si="132"/>
        <v>59040.000000000015</v>
      </c>
      <c r="AA105" s="23">
        <f t="shared" si="150"/>
        <v>73800.000000000015</v>
      </c>
      <c r="AB105" s="23">
        <f t="shared" si="150"/>
        <v>98400</v>
      </c>
      <c r="AE105" s="36">
        <f t="shared" si="133"/>
        <v>3.06</v>
      </c>
      <c r="AF105" s="37">
        <f t="shared" si="145"/>
        <v>2971.26</v>
      </c>
      <c r="AG105" s="28">
        <f t="shared" si="134"/>
        <v>14331.960000000003</v>
      </c>
      <c r="AH105" s="28">
        <f t="shared" si="151"/>
        <v>17914.950000000004</v>
      </c>
      <c r="AI105" s="28">
        <f t="shared" si="151"/>
        <v>23886.600000000002</v>
      </c>
      <c r="AJ105" s="28">
        <f t="shared" si="151"/>
        <v>47773.200000000004</v>
      </c>
      <c r="AK105" s="38"/>
      <c r="AL105" s="39">
        <v>3.06</v>
      </c>
      <c r="AM105" s="40">
        <f t="shared" si="146"/>
        <v>189.72</v>
      </c>
      <c r="AN105" s="28">
        <f t="shared" si="135"/>
        <v>915.12000000000023</v>
      </c>
      <c r="AO105" s="28">
        <f t="shared" si="152"/>
        <v>1143.9000000000001</v>
      </c>
      <c r="AP105" s="28">
        <f t="shared" si="152"/>
        <v>1525.2</v>
      </c>
      <c r="AQ105" s="28">
        <f t="shared" si="152"/>
        <v>3050.4</v>
      </c>
      <c r="AS105" s="28">
        <f t="shared" si="136"/>
        <v>113.65200000000003</v>
      </c>
      <c r="AT105" s="28">
        <f t="shared" si="153"/>
        <v>142.06500000000003</v>
      </c>
      <c r="AU105" s="28">
        <f t="shared" si="153"/>
        <v>189.42000000000002</v>
      </c>
      <c r="AV105" s="28">
        <f t="shared" si="153"/>
        <v>378.84000000000003</v>
      </c>
      <c r="AX105" s="31">
        <f t="shared" si="137"/>
        <v>7380.0000000000018</v>
      </c>
      <c r="AY105" s="31">
        <f t="shared" si="154"/>
        <v>9225.0000000000018</v>
      </c>
      <c r="AZ105" s="31">
        <f t="shared" si="154"/>
        <v>12300</v>
      </c>
      <c r="BA105" s="31">
        <f t="shared" si="154"/>
        <v>24600</v>
      </c>
      <c r="BD105" s="55">
        <f t="shared" si="82"/>
        <v>63.652500000000011</v>
      </c>
      <c r="BE105" s="55">
        <f t="shared" si="83"/>
        <v>84.87</v>
      </c>
      <c r="BF105" s="55">
        <f t="shared" si="84"/>
        <v>169.74</v>
      </c>
      <c r="BI105" s="55">
        <f t="shared" si="85"/>
        <v>331.17750000000007</v>
      </c>
      <c r="BJ105" s="55">
        <f t="shared" si="86"/>
        <v>441.57</v>
      </c>
      <c r="BK105" s="55">
        <f t="shared" si="87"/>
        <v>883.14</v>
      </c>
      <c r="BN105" s="56">
        <f t="shared" si="88"/>
        <v>119020.95000000001</v>
      </c>
      <c r="BO105" s="56">
        <f t="shared" si="89"/>
        <v>158694.6</v>
      </c>
      <c r="BP105" s="56">
        <f t="shared" si="90"/>
        <v>317389.2</v>
      </c>
      <c r="BR105" s="54"/>
    </row>
    <row r="106" spans="1:70" x14ac:dyDescent="0.2">
      <c r="A106" s="14">
        <v>52397</v>
      </c>
      <c r="B106" s="21" t="s">
        <v>92</v>
      </c>
      <c r="C106" s="17" t="s">
        <v>14</v>
      </c>
      <c r="D106" s="17" t="s">
        <v>5</v>
      </c>
      <c r="E106" s="18">
        <v>1.64</v>
      </c>
      <c r="F106" s="25">
        <v>2.41</v>
      </c>
      <c r="G106" s="20" t="s">
        <v>6</v>
      </c>
      <c r="H106" s="11">
        <v>50</v>
      </c>
      <c r="I106" s="17">
        <f t="shared" si="147"/>
        <v>3.0900000000000003</v>
      </c>
      <c r="J106" s="22">
        <f t="shared" si="138"/>
        <v>3.6100000000000003</v>
      </c>
      <c r="K106" s="22">
        <f t="shared" si="139"/>
        <v>4.28</v>
      </c>
      <c r="L106" s="22">
        <f t="shared" si="127"/>
        <v>6.1800000000000006</v>
      </c>
      <c r="M106" s="22">
        <f t="shared" si="128"/>
        <v>7.7250000000000005</v>
      </c>
      <c r="N106" s="22">
        <f t="shared" si="129"/>
        <v>9.2700000000000014</v>
      </c>
      <c r="O106" s="22">
        <f t="shared" si="130"/>
        <v>10.815000000000001</v>
      </c>
      <c r="P106" s="30">
        <f t="shared" si="148"/>
        <v>18.540000000000003</v>
      </c>
      <c r="Q106" s="30">
        <f t="shared" si="140"/>
        <v>20.857500000000002</v>
      </c>
      <c r="R106" s="30">
        <f t="shared" si="141"/>
        <v>22.016249999999999</v>
      </c>
      <c r="S106" s="30">
        <f t="shared" si="142"/>
        <v>21.63</v>
      </c>
      <c r="T106" s="30">
        <f t="shared" si="149"/>
        <v>23.175000000000001</v>
      </c>
      <c r="U106" s="30">
        <f t="shared" si="143"/>
        <v>30.900000000000002</v>
      </c>
      <c r="V106" s="30">
        <f t="shared" si="144"/>
        <v>61.800000000000004</v>
      </c>
      <c r="W106" s="22"/>
      <c r="X106" s="23">
        <f t="shared" si="131"/>
        <v>43260.000000000007</v>
      </c>
      <c r="Y106" s="23"/>
      <c r="Z106" s="23">
        <f t="shared" si="132"/>
        <v>74160.000000000015</v>
      </c>
      <c r="AA106" s="23">
        <f t="shared" si="150"/>
        <v>92700</v>
      </c>
      <c r="AB106" s="23">
        <f t="shared" si="150"/>
        <v>123600.00000000001</v>
      </c>
      <c r="AE106" s="36">
        <f t="shared" si="133"/>
        <v>3.6900000000000004</v>
      </c>
      <c r="AF106" s="37">
        <f t="shared" si="145"/>
        <v>3582.9900000000002</v>
      </c>
      <c r="AG106" s="28">
        <f t="shared" si="134"/>
        <v>18002.340000000004</v>
      </c>
      <c r="AH106" s="28">
        <f t="shared" si="151"/>
        <v>22502.924999999999</v>
      </c>
      <c r="AI106" s="28">
        <f t="shared" si="151"/>
        <v>30003.9</v>
      </c>
      <c r="AJ106" s="28">
        <f t="shared" si="151"/>
        <v>60007.8</v>
      </c>
      <c r="AK106" s="38"/>
      <c r="AL106" s="39">
        <v>3.6900000000000004</v>
      </c>
      <c r="AM106" s="40">
        <f t="shared" si="146"/>
        <v>228.78000000000003</v>
      </c>
      <c r="AN106" s="28">
        <f t="shared" si="135"/>
        <v>1149.4800000000002</v>
      </c>
      <c r="AO106" s="28">
        <f t="shared" si="152"/>
        <v>1436.8500000000001</v>
      </c>
      <c r="AP106" s="28">
        <f t="shared" si="152"/>
        <v>1915.8000000000002</v>
      </c>
      <c r="AQ106" s="28">
        <f t="shared" si="152"/>
        <v>3831.6000000000004</v>
      </c>
      <c r="AS106" s="28">
        <f t="shared" si="136"/>
        <v>142.75800000000004</v>
      </c>
      <c r="AT106" s="28">
        <f t="shared" si="153"/>
        <v>178.44750000000002</v>
      </c>
      <c r="AU106" s="28">
        <f t="shared" si="153"/>
        <v>237.93000000000004</v>
      </c>
      <c r="AV106" s="28">
        <f t="shared" si="153"/>
        <v>475.86000000000007</v>
      </c>
      <c r="AX106" s="31">
        <f t="shared" si="137"/>
        <v>9270.0000000000018</v>
      </c>
      <c r="AY106" s="31">
        <f t="shared" si="154"/>
        <v>11587.5</v>
      </c>
      <c r="AZ106" s="31">
        <f t="shared" si="154"/>
        <v>15450.000000000002</v>
      </c>
      <c r="BA106" s="31">
        <f t="shared" si="154"/>
        <v>30900.000000000004</v>
      </c>
      <c r="BD106" s="55">
        <f t="shared" si="82"/>
        <v>79.953750000000014</v>
      </c>
      <c r="BE106" s="55">
        <f t="shared" si="83"/>
        <v>106.60500000000002</v>
      </c>
      <c r="BF106" s="55">
        <f t="shared" si="84"/>
        <v>213.21000000000004</v>
      </c>
      <c r="BI106" s="55">
        <f t="shared" si="85"/>
        <v>415.99124999999998</v>
      </c>
      <c r="BJ106" s="55">
        <f t="shared" si="86"/>
        <v>554.65499999999997</v>
      </c>
      <c r="BK106" s="55">
        <f t="shared" si="87"/>
        <v>1109.31</v>
      </c>
      <c r="BN106" s="56">
        <f t="shared" si="88"/>
        <v>149501.92500000002</v>
      </c>
      <c r="BO106" s="56">
        <f t="shared" si="89"/>
        <v>199335.90000000002</v>
      </c>
      <c r="BP106" s="56">
        <f t="shared" si="90"/>
        <v>398671.80000000005</v>
      </c>
      <c r="BR106" s="54"/>
    </row>
    <row r="107" spans="1:70" x14ac:dyDescent="0.2">
      <c r="A107" s="14">
        <v>52490</v>
      </c>
      <c r="B107" s="58" t="s">
        <v>239</v>
      </c>
      <c r="C107" s="17"/>
      <c r="D107" s="17"/>
      <c r="E107" s="18"/>
      <c r="F107" s="25">
        <v>1.31</v>
      </c>
      <c r="G107" s="20"/>
      <c r="H107" s="11"/>
      <c r="I107" s="17">
        <f t="shared" si="147"/>
        <v>1.9900000000000002</v>
      </c>
      <c r="J107" s="22">
        <f t="shared" si="138"/>
        <v>2.5099999999999998</v>
      </c>
      <c r="K107" s="22">
        <f t="shared" si="139"/>
        <v>3.18</v>
      </c>
      <c r="L107" s="22">
        <f t="shared" si="127"/>
        <v>3.9800000000000004</v>
      </c>
      <c r="M107" s="22">
        <f t="shared" si="128"/>
        <v>4.9750000000000005</v>
      </c>
      <c r="N107" s="22">
        <f t="shared" si="129"/>
        <v>5.9700000000000006</v>
      </c>
      <c r="O107" s="22">
        <f t="shared" si="130"/>
        <v>6.9650000000000007</v>
      </c>
      <c r="P107" s="30">
        <f t="shared" si="148"/>
        <v>11.940000000000001</v>
      </c>
      <c r="Q107" s="30">
        <f t="shared" si="140"/>
        <v>13.432500000000001</v>
      </c>
      <c r="R107" s="30">
        <f t="shared" si="141"/>
        <v>14.178750000000001</v>
      </c>
      <c r="S107" s="30">
        <f t="shared" si="142"/>
        <v>13.930000000000001</v>
      </c>
      <c r="T107" s="30">
        <f t="shared" si="149"/>
        <v>14.925000000000001</v>
      </c>
      <c r="U107" s="30">
        <f t="shared" si="143"/>
        <v>19.900000000000002</v>
      </c>
      <c r="V107" s="30">
        <f t="shared" si="144"/>
        <v>39.800000000000004</v>
      </c>
      <c r="W107" s="22"/>
      <c r="X107" s="23">
        <f t="shared" si="131"/>
        <v>27860.000000000004</v>
      </c>
      <c r="Y107" s="23"/>
      <c r="Z107" s="23">
        <f t="shared" si="132"/>
        <v>47760.000000000007</v>
      </c>
      <c r="AA107" s="23">
        <f t="shared" si="150"/>
        <v>59700</v>
      </c>
      <c r="AB107" s="23">
        <f t="shared" si="150"/>
        <v>79600.000000000015</v>
      </c>
      <c r="AE107" s="36">
        <f t="shared" si="133"/>
        <v>2.5900000000000003</v>
      </c>
      <c r="AF107" s="37">
        <f t="shared" si="145"/>
        <v>2514.8900000000003</v>
      </c>
      <c r="AG107" s="28">
        <f t="shared" si="134"/>
        <v>11593.740000000002</v>
      </c>
      <c r="AH107" s="28">
        <f t="shared" si="151"/>
        <v>14492.175000000001</v>
      </c>
      <c r="AI107" s="28">
        <f t="shared" si="151"/>
        <v>19322.900000000001</v>
      </c>
      <c r="AJ107" s="28">
        <f t="shared" si="151"/>
        <v>38645.800000000003</v>
      </c>
      <c r="AK107" s="38"/>
      <c r="AL107" s="39"/>
      <c r="AM107" s="40"/>
      <c r="AN107" s="28">
        <f t="shared" si="135"/>
        <v>740.28000000000009</v>
      </c>
      <c r="AO107" s="28">
        <f t="shared" si="152"/>
        <v>925.35</v>
      </c>
      <c r="AP107" s="28">
        <f t="shared" si="152"/>
        <v>1233.8000000000002</v>
      </c>
      <c r="AQ107" s="28">
        <f t="shared" si="152"/>
        <v>2467.6000000000004</v>
      </c>
      <c r="AS107" s="28">
        <f t="shared" si="136"/>
        <v>91.938000000000017</v>
      </c>
      <c r="AT107" s="28">
        <f t="shared" si="153"/>
        <v>114.92250000000001</v>
      </c>
      <c r="AU107" s="28">
        <f t="shared" si="153"/>
        <v>153.23000000000002</v>
      </c>
      <c r="AV107" s="28">
        <f t="shared" si="153"/>
        <v>306.46000000000004</v>
      </c>
      <c r="AX107" s="31">
        <f t="shared" si="137"/>
        <v>5970.0000000000009</v>
      </c>
      <c r="AY107" s="31">
        <f t="shared" si="154"/>
        <v>7462.5</v>
      </c>
      <c r="AZ107" s="31">
        <f t="shared" si="154"/>
        <v>9950.0000000000018</v>
      </c>
      <c r="BA107" s="31">
        <f t="shared" si="154"/>
        <v>19900.000000000004</v>
      </c>
      <c r="BD107" s="55">
        <f t="shared" si="82"/>
        <v>51.491250000000008</v>
      </c>
      <c r="BE107" s="55">
        <f t="shared" si="83"/>
        <v>68.655000000000015</v>
      </c>
      <c r="BF107" s="55">
        <f t="shared" si="84"/>
        <v>137.31000000000003</v>
      </c>
      <c r="BI107" s="55">
        <f t="shared" si="85"/>
        <v>267.90375</v>
      </c>
      <c r="BJ107" s="55">
        <f t="shared" si="86"/>
        <v>357.20500000000004</v>
      </c>
      <c r="BK107" s="55">
        <f t="shared" si="87"/>
        <v>714.41000000000008</v>
      </c>
      <c r="BN107" s="56">
        <f t="shared" si="88"/>
        <v>96281.175000000003</v>
      </c>
      <c r="BO107" s="56">
        <f t="shared" si="89"/>
        <v>128374.90000000001</v>
      </c>
      <c r="BP107" s="56">
        <f t="shared" si="90"/>
        <v>256749.80000000002</v>
      </c>
      <c r="BR107" s="54"/>
    </row>
    <row r="108" spans="1:70" x14ac:dyDescent="0.2">
      <c r="A108" s="14">
        <v>52498</v>
      </c>
      <c r="B108" s="21" t="s">
        <v>93</v>
      </c>
      <c r="C108" s="17" t="s">
        <v>4</v>
      </c>
      <c r="D108" s="17" t="s">
        <v>5</v>
      </c>
      <c r="E108" s="18">
        <v>0.77</v>
      </c>
      <c r="F108" s="24">
        <v>1.3</v>
      </c>
      <c r="G108" s="20" t="s">
        <v>6</v>
      </c>
      <c r="H108" s="11">
        <v>25</v>
      </c>
      <c r="I108" s="17">
        <f t="shared" si="147"/>
        <v>1.98</v>
      </c>
      <c r="J108" s="22">
        <f t="shared" si="138"/>
        <v>2.5</v>
      </c>
      <c r="K108" s="22">
        <f t="shared" si="139"/>
        <v>3.17</v>
      </c>
      <c r="L108" s="22">
        <f t="shared" si="127"/>
        <v>3.96</v>
      </c>
      <c r="M108" s="22">
        <f t="shared" si="128"/>
        <v>4.95</v>
      </c>
      <c r="N108" s="22">
        <f t="shared" si="129"/>
        <v>5.9399999999999995</v>
      </c>
      <c r="O108" s="22">
        <f t="shared" si="130"/>
        <v>6.93</v>
      </c>
      <c r="P108" s="30">
        <f t="shared" si="148"/>
        <v>11.880000000000003</v>
      </c>
      <c r="Q108" s="30">
        <f t="shared" si="140"/>
        <v>13.365000000000002</v>
      </c>
      <c r="R108" s="30">
        <f t="shared" si="141"/>
        <v>14.1075</v>
      </c>
      <c r="S108" s="30">
        <f t="shared" si="142"/>
        <v>13.86</v>
      </c>
      <c r="T108" s="30">
        <f t="shared" si="149"/>
        <v>14.850000000000001</v>
      </c>
      <c r="U108" s="30">
        <f t="shared" si="143"/>
        <v>19.8</v>
      </c>
      <c r="V108" s="30">
        <f t="shared" si="144"/>
        <v>39.6</v>
      </c>
      <c r="W108" s="22"/>
      <c r="X108" s="23">
        <f t="shared" si="131"/>
        <v>27720</v>
      </c>
      <c r="Y108" s="23"/>
      <c r="Z108" s="23">
        <f t="shared" si="132"/>
        <v>47520.000000000007</v>
      </c>
      <c r="AA108" s="23">
        <f t="shared" si="150"/>
        <v>59400.000000000007</v>
      </c>
      <c r="AB108" s="23">
        <f t="shared" si="150"/>
        <v>79200</v>
      </c>
      <c r="AE108" s="36">
        <f t="shared" si="133"/>
        <v>2.58</v>
      </c>
      <c r="AF108" s="37">
        <f t="shared" si="145"/>
        <v>2505.1800000000003</v>
      </c>
      <c r="AG108" s="28">
        <f t="shared" si="134"/>
        <v>11535.480000000003</v>
      </c>
      <c r="AH108" s="28">
        <f t="shared" si="151"/>
        <v>14419.350000000002</v>
      </c>
      <c r="AI108" s="28">
        <f t="shared" si="151"/>
        <v>19225.8</v>
      </c>
      <c r="AJ108" s="28">
        <f t="shared" si="151"/>
        <v>38451.599999999999</v>
      </c>
      <c r="AK108" s="38"/>
      <c r="AL108" s="39">
        <v>2.58</v>
      </c>
      <c r="AM108" s="40">
        <f t="shared" si="146"/>
        <v>159.96</v>
      </c>
      <c r="AN108" s="28">
        <f t="shared" si="135"/>
        <v>736.56000000000017</v>
      </c>
      <c r="AO108" s="28">
        <f t="shared" si="152"/>
        <v>920.7</v>
      </c>
      <c r="AP108" s="28">
        <f t="shared" si="152"/>
        <v>1227.6000000000001</v>
      </c>
      <c r="AQ108" s="28">
        <f t="shared" si="152"/>
        <v>2455.2000000000003</v>
      </c>
      <c r="AS108" s="28">
        <f t="shared" si="136"/>
        <v>91.476000000000028</v>
      </c>
      <c r="AT108" s="28">
        <f t="shared" si="153"/>
        <v>114.34500000000001</v>
      </c>
      <c r="AU108" s="28">
        <f t="shared" si="153"/>
        <v>152.46</v>
      </c>
      <c r="AV108" s="28">
        <f t="shared" si="153"/>
        <v>304.92</v>
      </c>
      <c r="AX108" s="31">
        <f t="shared" si="137"/>
        <v>5940.0000000000009</v>
      </c>
      <c r="AY108" s="31">
        <f t="shared" si="154"/>
        <v>7425.0000000000009</v>
      </c>
      <c r="AZ108" s="31">
        <f t="shared" si="154"/>
        <v>9900</v>
      </c>
      <c r="BA108" s="31">
        <f t="shared" si="154"/>
        <v>19800</v>
      </c>
      <c r="BD108" s="55">
        <f t="shared" si="82"/>
        <v>51.232500000000009</v>
      </c>
      <c r="BE108" s="55">
        <f t="shared" si="83"/>
        <v>68.31</v>
      </c>
      <c r="BF108" s="55">
        <f t="shared" si="84"/>
        <v>136.62</v>
      </c>
      <c r="BI108" s="55">
        <f t="shared" si="85"/>
        <v>266.5575</v>
      </c>
      <c r="BJ108" s="55">
        <f t="shared" si="86"/>
        <v>355.41</v>
      </c>
      <c r="BK108" s="55">
        <f t="shared" si="87"/>
        <v>710.82</v>
      </c>
      <c r="BN108" s="56">
        <f t="shared" si="88"/>
        <v>95797.35</v>
      </c>
      <c r="BO108" s="56">
        <f t="shared" si="89"/>
        <v>127729.8</v>
      </c>
      <c r="BP108" s="56">
        <f t="shared" si="90"/>
        <v>255459.6</v>
      </c>
      <c r="BR108" s="54"/>
    </row>
    <row r="109" spans="1:70" x14ac:dyDescent="0.2">
      <c r="A109" s="14">
        <v>52500</v>
      </c>
      <c r="B109" s="21" t="s">
        <v>94</v>
      </c>
      <c r="C109" s="17" t="s">
        <v>8</v>
      </c>
      <c r="D109" s="17" t="s">
        <v>5</v>
      </c>
      <c r="E109" s="18">
        <v>0.81</v>
      </c>
      <c r="F109" s="24">
        <v>1.55</v>
      </c>
      <c r="G109" s="20" t="s">
        <v>6</v>
      </c>
      <c r="H109" s="17">
        <v>50</v>
      </c>
      <c r="I109" s="17">
        <f t="shared" si="147"/>
        <v>2.23</v>
      </c>
      <c r="J109" s="22">
        <f t="shared" si="138"/>
        <v>2.75</v>
      </c>
      <c r="K109" s="22">
        <f t="shared" si="139"/>
        <v>3.42</v>
      </c>
      <c r="L109" s="22">
        <f t="shared" si="127"/>
        <v>4.46</v>
      </c>
      <c r="M109" s="22">
        <f t="shared" si="128"/>
        <v>5.5750000000000002</v>
      </c>
      <c r="N109" s="22">
        <f t="shared" si="129"/>
        <v>6.6899999999999995</v>
      </c>
      <c r="O109" s="22">
        <f t="shared" si="130"/>
        <v>7.8049999999999997</v>
      </c>
      <c r="P109" s="30">
        <f t="shared" si="148"/>
        <v>13.380000000000003</v>
      </c>
      <c r="Q109" s="30">
        <f t="shared" si="140"/>
        <v>15.052500000000002</v>
      </c>
      <c r="R109" s="30">
        <f t="shared" si="141"/>
        <v>15.88875</v>
      </c>
      <c r="S109" s="30">
        <f t="shared" si="142"/>
        <v>15.61</v>
      </c>
      <c r="T109" s="30">
        <f t="shared" si="149"/>
        <v>16.725000000000001</v>
      </c>
      <c r="U109" s="30">
        <f t="shared" si="143"/>
        <v>22.3</v>
      </c>
      <c r="V109" s="30">
        <f t="shared" si="144"/>
        <v>44.6</v>
      </c>
      <c r="W109" s="22"/>
      <c r="X109" s="23">
        <f t="shared" si="131"/>
        <v>31220</v>
      </c>
      <c r="Y109" s="23"/>
      <c r="Z109" s="23">
        <f t="shared" si="132"/>
        <v>53520.000000000007</v>
      </c>
      <c r="AA109" s="23">
        <f t="shared" si="150"/>
        <v>66900</v>
      </c>
      <c r="AB109" s="23">
        <f t="shared" si="150"/>
        <v>89200</v>
      </c>
      <c r="AE109" s="36">
        <f t="shared" si="133"/>
        <v>2.83</v>
      </c>
      <c r="AF109" s="37">
        <f t="shared" si="145"/>
        <v>2747.9300000000003</v>
      </c>
      <c r="AG109" s="28">
        <f t="shared" si="134"/>
        <v>12991.980000000003</v>
      </c>
      <c r="AH109" s="28">
        <f t="shared" si="151"/>
        <v>16239.975000000002</v>
      </c>
      <c r="AI109" s="28">
        <f t="shared" si="151"/>
        <v>21653.3</v>
      </c>
      <c r="AJ109" s="28">
        <f t="shared" si="151"/>
        <v>43306.6</v>
      </c>
      <c r="AK109" s="38"/>
      <c r="AL109" s="39">
        <v>2.83</v>
      </c>
      <c r="AM109" s="40">
        <f t="shared" si="146"/>
        <v>175.46</v>
      </c>
      <c r="AN109" s="28">
        <f t="shared" si="135"/>
        <v>829.56000000000017</v>
      </c>
      <c r="AO109" s="28">
        <f t="shared" si="152"/>
        <v>1036.95</v>
      </c>
      <c r="AP109" s="28">
        <f t="shared" si="152"/>
        <v>1382.6000000000001</v>
      </c>
      <c r="AQ109" s="28">
        <f t="shared" si="152"/>
        <v>2765.2000000000003</v>
      </c>
      <c r="AS109" s="28">
        <f t="shared" si="136"/>
        <v>103.02600000000002</v>
      </c>
      <c r="AT109" s="28">
        <f t="shared" si="153"/>
        <v>128.78250000000003</v>
      </c>
      <c r="AU109" s="28">
        <f t="shared" si="153"/>
        <v>171.71</v>
      </c>
      <c r="AV109" s="28">
        <f t="shared" si="153"/>
        <v>343.42</v>
      </c>
      <c r="AX109" s="31">
        <f t="shared" si="137"/>
        <v>6690.0000000000009</v>
      </c>
      <c r="AY109" s="31">
        <f t="shared" si="154"/>
        <v>8362.5</v>
      </c>
      <c r="AZ109" s="31">
        <f t="shared" si="154"/>
        <v>11150</v>
      </c>
      <c r="BA109" s="31">
        <f t="shared" si="154"/>
        <v>22300</v>
      </c>
      <c r="BD109" s="55">
        <f t="shared" si="82"/>
        <v>57.701250000000009</v>
      </c>
      <c r="BE109" s="55">
        <f t="shared" si="83"/>
        <v>76.935000000000002</v>
      </c>
      <c r="BF109" s="55">
        <f t="shared" si="84"/>
        <v>153.87</v>
      </c>
      <c r="BI109" s="55">
        <f t="shared" si="85"/>
        <v>300.21375</v>
      </c>
      <c r="BJ109" s="55">
        <f t="shared" si="86"/>
        <v>400.28500000000003</v>
      </c>
      <c r="BK109" s="55">
        <f t="shared" si="87"/>
        <v>800.57</v>
      </c>
      <c r="BN109" s="56">
        <f t="shared" si="88"/>
        <v>107892.97500000001</v>
      </c>
      <c r="BO109" s="56">
        <f t="shared" si="89"/>
        <v>143857.30000000002</v>
      </c>
      <c r="BP109" s="56">
        <f t="shared" si="90"/>
        <v>287714.60000000003</v>
      </c>
      <c r="BR109" s="54"/>
    </row>
    <row r="110" spans="1:70" x14ac:dyDescent="0.2">
      <c r="A110" s="14">
        <v>52540</v>
      </c>
      <c r="B110" s="21" t="s">
        <v>95</v>
      </c>
      <c r="C110" s="17" t="s">
        <v>14</v>
      </c>
      <c r="D110" s="17" t="s">
        <v>5</v>
      </c>
      <c r="E110" s="18">
        <v>0.98</v>
      </c>
      <c r="F110" s="24">
        <v>2.15</v>
      </c>
      <c r="G110" s="20" t="s">
        <v>6</v>
      </c>
      <c r="H110" s="11">
        <v>25</v>
      </c>
      <c r="I110" s="17">
        <f t="shared" si="147"/>
        <v>2.83</v>
      </c>
      <c r="J110" s="22">
        <f t="shared" si="138"/>
        <v>3.3499999999999996</v>
      </c>
      <c r="K110" s="22">
        <f t="shared" si="139"/>
        <v>4.0199999999999996</v>
      </c>
      <c r="L110" s="22">
        <f t="shared" si="127"/>
        <v>5.66</v>
      </c>
      <c r="M110" s="22">
        <f t="shared" si="128"/>
        <v>7.0750000000000002</v>
      </c>
      <c r="N110" s="22">
        <f t="shared" si="129"/>
        <v>8.49</v>
      </c>
      <c r="O110" s="22">
        <f t="shared" si="130"/>
        <v>9.9050000000000011</v>
      </c>
      <c r="P110" s="30">
        <f t="shared" si="148"/>
        <v>16.98</v>
      </c>
      <c r="Q110" s="30">
        <f t="shared" si="140"/>
        <v>19.102500000000003</v>
      </c>
      <c r="R110" s="30">
        <f t="shared" si="141"/>
        <v>20.16375</v>
      </c>
      <c r="S110" s="30">
        <f t="shared" si="142"/>
        <v>19.809999999999999</v>
      </c>
      <c r="T110" s="30">
        <f t="shared" si="149"/>
        <v>21.225000000000001</v>
      </c>
      <c r="U110" s="30">
        <f t="shared" si="143"/>
        <v>28.3</v>
      </c>
      <c r="V110" s="30">
        <f t="shared" si="144"/>
        <v>56.6</v>
      </c>
      <c r="W110" s="22"/>
      <c r="X110" s="23">
        <f t="shared" si="131"/>
        <v>39620.000000000007</v>
      </c>
      <c r="Y110" s="23"/>
      <c r="Z110" s="23">
        <f t="shared" si="132"/>
        <v>67920</v>
      </c>
      <c r="AA110" s="23">
        <f t="shared" si="150"/>
        <v>84900</v>
      </c>
      <c r="AB110" s="23">
        <f t="shared" si="150"/>
        <v>113200</v>
      </c>
      <c r="AE110" s="36">
        <f t="shared" si="133"/>
        <v>3.43</v>
      </c>
      <c r="AF110" s="37">
        <f t="shared" si="145"/>
        <v>3330.53</v>
      </c>
      <c r="AG110" s="28">
        <f t="shared" si="134"/>
        <v>16487.580000000002</v>
      </c>
      <c r="AH110" s="28">
        <f t="shared" si="151"/>
        <v>20609.475000000002</v>
      </c>
      <c r="AI110" s="28">
        <f t="shared" si="151"/>
        <v>27479.3</v>
      </c>
      <c r="AJ110" s="28">
        <f t="shared" si="151"/>
        <v>54958.6</v>
      </c>
      <c r="AK110" s="38"/>
      <c r="AL110" s="39">
        <v>3.43</v>
      </c>
      <c r="AM110" s="40">
        <f t="shared" si="146"/>
        <v>212.66</v>
      </c>
      <c r="AN110" s="28">
        <f t="shared" si="135"/>
        <v>1052.76</v>
      </c>
      <c r="AO110" s="28">
        <f t="shared" si="152"/>
        <v>1315.95</v>
      </c>
      <c r="AP110" s="28">
        <f t="shared" si="152"/>
        <v>1754.6000000000001</v>
      </c>
      <c r="AQ110" s="28">
        <f t="shared" si="152"/>
        <v>3509.2000000000003</v>
      </c>
      <c r="AS110" s="28">
        <f t="shared" si="136"/>
        <v>130.74600000000001</v>
      </c>
      <c r="AT110" s="28">
        <f t="shared" si="153"/>
        <v>163.4325</v>
      </c>
      <c r="AU110" s="28">
        <f t="shared" si="153"/>
        <v>217.91</v>
      </c>
      <c r="AV110" s="28">
        <f t="shared" si="153"/>
        <v>435.82</v>
      </c>
      <c r="AX110" s="31">
        <f t="shared" si="137"/>
        <v>8490</v>
      </c>
      <c r="AY110" s="31">
        <f t="shared" si="154"/>
        <v>10612.5</v>
      </c>
      <c r="AZ110" s="31">
        <f t="shared" si="154"/>
        <v>14150</v>
      </c>
      <c r="BA110" s="31">
        <f t="shared" si="154"/>
        <v>28300</v>
      </c>
      <c r="BD110" s="55">
        <f t="shared" si="82"/>
        <v>73.226250000000007</v>
      </c>
      <c r="BE110" s="55">
        <f t="shared" si="83"/>
        <v>97.635000000000005</v>
      </c>
      <c r="BF110" s="55">
        <f t="shared" si="84"/>
        <v>195.27</v>
      </c>
      <c r="BI110" s="55">
        <f t="shared" si="85"/>
        <v>380.98875000000004</v>
      </c>
      <c r="BJ110" s="55">
        <f t="shared" si="86"/>
        <v>507.98500000000001</v>
      </c>
      <c r="BK110" s="55">
        <f t="shared" si="87"/>
        <v>1015.97</v>
      </c>
      <c r="BN110" s="56">
        <f t="shared" si="88"/>
        <v>136922.47500000001</v>
      </c>
      <c r="BO110" s="56">
        <f t="shared" si="89"/>
        <v>182563.30000000002</v>
      </c>
      <c r="BP110" s="56">
        <f t="shared" si="90"/>
        <v>365126.60000000003</v>
      </c>
      <c r="BR110" s="54"/>
    </row>
    <row r="111" spans="1:70" x14ac:dyDescent="0.2">
      <c r="A111" s="14">
        <v>52598</v>
      </c>
      <c r="B111" s="21" t="s">
        <v>96</v>
      </c>
      <c r="C111" s="17" t="s">
        <v>4</v>
      </c>
      <c r="D111" s="17" t="s">
        <v>5</v>
      </c>
      <c r="E111" s="18">
        <v>0.62</v>
      </c>
      <c r="F111" s="24">
        <v>1.45</v>
      </c>
      <c r="G111" s="20" t="s">
        <v>6</v>
      </c>
      <c r="H111" s="17">
        <v>20</v>
      </c>
      <c r="I111" s="17">
        <f t="shared" si="147"/>
        <v>2.13</v>
      </c>
      <c r="J111" s="22">
        <f t="shared" si="138"/>
        <v>2.65</v>
      </c>
      <c r="K111" s="22">
        <f t="shared" si="139"/>
        <v>3.3200000000000003</v>
      </c>
      <c r="L111" s="22">
        <f t="shared" si="127"/>
        <v>4.26</v>
      </c>
      <c r="M111" s="22">
        <f t="shared" si="128"/>
        <v>5.3249999999999993</v>
      </c>
      <c r="N111" s="22">
        <f t="shared" si="129"/>
        <v>6.39</v>
      </c>
      <c r="O111" s="22">
        <f t="shared" si="130"/>
        <v>7.4550000000000001</v>
      </c>
      <c r="P111" s="30">
        <f t="shared" si="148"/>
        <v>12.78</v>
      </c>
      <c r="Q111" s="30">
        <f t="shared" si="140"/>
        <v>14.377499999999998</v>
      </c>
      <c r="R111" s="30">
        <f t="shared" si="141"/>
        <v>15.176249999999998</v>
      </c>
      <c r="S111" s="30">
        <f t="shared" si="142"/>
        <v>14.909999999999997</v>
      </c>
      <c r="T111" s="30">
        <f t="shared" si="149"/>
        <v>15.974999999999998</v>
      </c>
      <c r="U111" s="30">
        <f t="shared" si="143"/>
        <v>21.299999999999997</v>
      </c>
      <c r="V111" s="30">
        <f t="shared" si="144"/>
        <v>42.599999999999994</v>
      </c>
      <c r="W111" s="22"/>
      <c r="X111" s="23">
        <f t="shared" si="131"/>
        <v>29820</v>
      </c>
      <c r="Y111" s="23"/>
      <c r="Z111" s="23">
        <f t="shared" si="132"/>
        <v>51120</v>
      </c>
      <c r="AA111" s="23">
        <f t="shared" si="150"/>
        <v>63899.999999999993</v>
      </c>
      <c r="AB111" s="23">
        <f t="shared" si="150"/>
        <v>85199.999999999985</v>
      </c>
      <c r="AE111" s="36">
        <f t="shared" si="133"/>
        <v>2.73</v>
      </c>
      <c r="AF111" s="37">
        <f t="shared" si="145"/>
        <v>2650.83</v>
      </c>
      <c r="AG111" s="28">
        <f t="shared" si="134"/>
        <v>12409.38</v>
      </c>
      <c r="AH111" s="28">
        <f t="shared" si="151"/>
        <v>15511.724999999999</v>
      </c>
      <c r="AI111" s="28">
        <f t="shared" si="151"/>
        <v>20682.299999999996</v>
      </c>
      <c r="AJ111" s="28">
        <f t="shared" si="151"/>
        <v>41364.599999999991</v>
      </c>
      <c r="AK111" s="38"/>
      <c r="AL111" s="39">
        <v>2.73</v>
      </c>
      <c r="AM111" s="40">
        <f t="shared" si="146"/>
        <v>169.26</v>
      </c>
      <c r="AN111" s="28">
        <f t="shared" si="135"/>
        <v>792.36</v>
      </c>
      <c r="AO111" s="28">
        <f t="shared" si="152"/>
        <v>990.44999999999982</v>
      </c>
      <c r="AP111" s="28">
        <f t="shared" si="152"/>
        <v>1320.6</v>
      </c>
      <c r="AQ111" s="28">
        <f t="shared" si="152"/>
        <v>2641.2</v>
      </c>
      <c r="AS111" s="28">
        <f t="shared" si="136"/>
        <v>98.405999999999992</v>
      </c>
      <c r="AT111" s="28">
        <f t="shared" si="153"/>
        <v>123.00749999999999</v>
      </c>
      <c r="AU111" s="28">
        <f t="shared" si="153"/>
        <v>164.01</v>
      </c>
      <c r="AV111" s="28">
        <f t="shared" si="153"/>
        <v>328.02</v>
      </c>
      <c r="AX111" s="31">
        <f t="shared" si="137"/>
        <v>6390</v>
      </c>
      <c r="AY111" s="31">
        <f t="shared" si="154"/>
        <v>7987.4999999999991</v>
      </c>
      <c r="AZ111" s="31">
        <f t="shared" si="154"/>
        <v>10649.999999999998</v>
      </c>
      <c r="BA111" s="31">
        <f t="shared" si="154"/>
        <v>21299.999999999996</v>
      </c>
      <c r="BD111" s="55">
        <f t="shared" si="82"/>
        <v>55.113749999999996</v>
      </c>
      <c r="BE111" s="55">
        <f t="shared" si="83"/>
        <v>73.484999999999999</v>
      </c>
      <c r="BF111" s="55">
        <f t="shared" si="84"/>
        <v>146.97</v>
      </c>
      <c r="BI111" s="55">
        <f t="shared" si="85"/>
        <v>286.75124999999997</v>
      </c>
      <c r="BJ111" s="55">
        <f t="shared" si="86"/>
        <v>382.33499999999992</v>
      </c>
      <c r="BK111" s="55">
        <f t="shared" si="87"/>
        <v>764.66999999999985</v>
      </c>
      <c r="BN111" s="56">
        <f t="shared" si="88"/>
        <v>103054.72499999999</v>
      </c>
      <c r="BO111" s="56">
        <f t="shared" si="89"/>
        <v>137406.29999999999</v>
      </c>
      <c r="BP111" s="56">
        <f t="shared" si="90"/>
        <v>274812.59999999998</v>
      </c>
      <c r="BR111" s="54"/>
    </row>
    <row r="112" spans="1:70" x14ac:dyDescent="0.2">
      <c r="A112" s="14">
        <v>52600</v>
      </c>
      <c r="B112" s="21" t="s">
        <v>97</v>
      </c>
      <c r="C112" s="17" t="s">
        <v>8</v>
      </c>
      <c r="D112" s="17" t="s">
        <v>5</v>
      </c>
      <c r="E112" s="18">
        <v>0.7</v>
      </c>
      <c r="F112" s="24">
        <v>1.67</v>
      </c>
      <c r="G112" s="20" t="s">
        <v>6</v>
      </c>
      <c r="H112" s="17">
        <v>20</v>
      </c>
      <c r="I112" s="17">
        <f t="shared" si="147"/>
        <v>2.35</v>
      </c>
      <c r="J112" s="22">
        <f t="shared" si="138"/>
        <v>2.87</v>
      </c>
      <c r="K112" s="22">
        <f t="shared" si="139"/>
        <v>3.54</v>
      </c>
      <c r="L112" s="22">
        <f t="shared" si="127"/>
        <v>4.7</v>
      </c>
      <c r="M112" s="22">
        <f t="shared" si="128"/>
        <v>5.875</v>
      </c>
      <c r="N112" s="22">
        <f t="shared" si="129"/>
        <v>7.0500000000000007</v>
      </c>
      <c r="O112" s="22">
        <f t="shared" si="130"/>
        <v>8.2249999999999996</v>
      </c>
      <c r="P112" s="30">
        <f t="shared" si="148"/>
        <v>14.100000000000001</v>
      </c>
      <c r="Q112" s="30">
        <f t="shared" si="140"/>
        <v>15.862500000000001</v>
      </c>
      <c r="R112" s="30">
        <f t="shared" si="141"/>
        <v>16.743749999999999</v>
      </c>
      <c r="S112" s="30">
        <f t="shared" si="142"/>
        <v>16.45</v>
      </c>
      <c r="T112" s="30">
        <f t="shared" si="149"/>
        <v>17.625</v>
      </c>
      <c r="U112" s="30">
        <f t="shared" si="143"/>
        <v>23.5</v>
      </c>
      <c r="V112" s="30">
        <f t="shared" si="144"/>
        <v>47</v>
      </c>
      <c r="W112" s="22"/>
      <c r="X112" s="23">
        <f t="shared" si="131"/>
        <v>32900</v>
      </c>
      <c r="Y112" s="23"/>
      <c r="Z112" s="23">
        <f t="shared" si="132"/>
        <v>56400.000000000007</v>
      </c>
      <c r="AA112" s="23">
        <f t="shared" si="150"/>
        <v>70500</v>
      </c>
      <c r="AB112" s="23">
        <f t="shared" si="150"/>
        <v>94000</v>
      </c>
      <c r="AE112" s="36">
        <f t="shared" si="133"/>
        <v>2.95</v>
      </c>
      <c r="AF112" s="37">
        <f t="shared" si="145"/>
        <v>2864.4500000000003</v>
      </c>
      <c r="AG112" s="28">
        <f t="shared" si="134"/>
        <v>13691.100000000002</v>
      </c>
      <c r="AH112" s="28">
        <f t="shared" si="151"/>
        <v>17113.875</v>
      </c>
      <c r="AI112" s="28">
        <f t="shared" si="151"/>
        <v>22818.5</v>
      </c>
      <c r="AJ112" s="28">
        <f t="shared" si="151"/>
        <v>45637</v>
      </c>
      <c r="AK112" s="38"/>
      <c r="AL112" s="39">
        <v>2.95</v>
      </c>
      <c r="AM112" s="40">
        <f t="shared" si="146"/>
        <v>182.9</v>
      </c>
      <c r="AN112" s="28">
        <f t="shared" si="135"/>
        <v>874.2</v>
      </c>
      <c r="AO112" s="28">
        <f t="shared" si="152"/>
        <v>1092.75</v>
      </c>
      <c r="AP112" s="28">
        <f t="shared" si="152"/>
        <v>1457</v>
      </c>
      <c r="AQ112" s="28">
        <f t="shared" si="152"/>
        <v>2914</v>
      </c>
      <c r="AS112" s="28">
        <f t="shared" si="136"/>
        <v>108.57000000000001</v>
      </c>
      <c r="AT112" s="28">
        <f t="shared" si="153"/>
        <v>135.71250000000001</v>
      </c>
      <c r="AU112" s="28">
        <f t="shared" si="153"/>
        <v>180.95000000000002</v>
      </c>
      <c r="AV112" s="28">
        <f t="shared" si="153"/>
        <v>361.90000000000003</v>
      </c>
      <c r="AX112" s="31">
        <f t="shared" si="137"/>
        <v>7050.0000000000009</v>
      </c>
      <c r="AY112" s="31">
        <f t="shared" si="154"/>
        <v>8812.5</v>
      </c>
      <c r="AZ112" s="31">
        <f t="shared" si="154"/>
        <v>11750</v>
      </c>
      <c r="BA112" s="31">
        <f t="shared" si="154"/>
        <v>23500</v>
      </c>
      <c r="BD112" s="55">
        <f t="shared" si="82"/>
        <v>60.806250000000006</v>
      </c>
      <c r="BE112" s="55">
        <f t="shared" si="83"/>
        <v>81.075000000000003</v>
      </c>
      <c r="BF112" s="55">
        <f t="shared" si="84"/>
        <v>162.15</v>
      </c>
      <c r="BI112" s="55">
        <f t="shared" si="85"/>
        <v>316.36874999999998</v>
      </c>
      <c r="BJ112" s="55">
        <f t="shared" si="86"/>
        <v>421.82499999999999</v>
      </c>
      <c r="BK112" s="55">
        <f t="shared" si="87"/>
        <v>843.65</v>
      </c>
      <c r="BN112" s="56">
        <f t="shared" si="88"/>
        <v>113698.875</v>
      </c>
      <c r="BO112" s="56">
        <f t="shared" si="89"/>
        <v>151598.5</v>
      </c>
      <c r="BP112" s="56">
        <f t="shared" si="90"/>
        <v>303197</v>
      </c>
      <c r="BR112" s="54"/>
    </row>
    <row r="113" spans="1:70" x14ac:dyDescent="0.2">
      <c r="A113" s="14">
        <v>52687</v>
      </c>
      <c r="B113" s="42" t="s">
        <v>104</v>
      </c>
      <c r="C113" s="17" t="s">
        <v>19</v>
      </c>
      <c r="D113" s="17" t="s">
        <v>20</v>
      </c>
      <c r="E113" s="18">
        <v>0.41</v>
      </c>
      <c r="F113" s="25">
        <v>0.73</v>
      </c>
      <c r="G113" s="17"/>
      <c r="H113" s="11">
        <v>10</v>
      </c>
      <c r="I113" s="17">
        <f t="shared" si="147"/>
        <v>1.4100000000000001</v>
      </c>
      <c r="J113" s="22">
        <f t="shared" si="138"/>
        <v>1.93</v>
      </c>
      <c r="K113" s="22">
        <f t="shared" si="139"/>
        <v>2.6</v>
      </c>
      <c r="L113" s="22">
        <f t="shared" si="127"/>
        <v>2.8200000000000003</v>
      </c>
      <c r="M113" s="22">
        <f t="shared" si="128"/>
        <v>3.5250000000000004</v>
      </c>
      <c r="N113" s="22">
        <f t="shared" si="129"/>
        <v>4.2300000000000004</v>
      </c>
      <c r="O113" s="22">
        <f t="shared" si="130"/>
        <v>4.9350000000000005</v>
      </c>
      <c r="P113" s="30">
        <f t="shared" si="148"/>
        <v>8.4600000000000009</v>
      </c>
      <c r="Q113" s="30">
        <f t="shared" si="140"/>
        <v>9.5175000000000018</v>
      </c>
      <c r="R113" s="30">
        <f t="shared" si="141"/>
        <v>10.046250000000001</v>
      </c>
      <c r="S113" s="30">
        <f t="shared" si="142"/>
        <v>9.870000000000001</v>
      </c>
      <c r="T113" s="30">
        <f t="shared" si="149"/>
        <v>10.575000000000001</v>
      </c>
      <c r="U113" s="30">
        <f t="shared" si="143"/>
        <v>14.100000000000001</v>
      </c>
      <c r="V113" s="30">
        <f t="shared" si="144"/>
        <v>28.200000000000003</v>
      </c>
      <c r="W113" s="22"/>
      <c r="X113" s="23">
        <f t="shared" si="131"/>
        <v>19740.000000000004</v>
      </c>
      <c r="Y113" s="23"/>
      <c r="Z113" s="23">
        <f t="shared" si="132"/>
        <v>33840</v>
      </c>
      <c r="AA113" s="23">
        <f t="shared" si="150"/>
        <v>42300.000000000007</v>
      </c>
      <c r="AB113" s="23">
        <f t="shared" si="150"/>
        <v>56400.000000000007</v>
      </c>
      <c r="AE113" s="36">
        <f t="shared" si="133"/>
        <v>2.0100000000000002</v>
      </c>
      <c r="AF113" s="37">
        <f t="shared" si="145"/>
        <v>1951.7100000000003</v>
      </c>
      <c r="AG113" s="28">
        <f t="shared" si="134"/>
        <v>8214.6600000000017</v>
      </c>
      <c r="AH113" s="28">
        <f t="shared" si="151"/>
        <v>10268.325000000001</v>
      </c>
      <c r="AI113" s="28">
        <f t="shared" si="151"/>
        <v>13691.100000000002</v>
      </c>
      <c r="AJ113" s="28">
        <f t="shared" si="151"/>
        <v>27382.200000000004</v>
      </c>
      <c r="AK113" s="38"/>
      <c r="AL113" s="39">
        <v>2.0100000000000002</v>
      </c>
      <c r="AM113" s="40">
        <f t="shared" si="146"/>
        <v>124.62000000000002</v>
      </c>
      <c r="AN113" s="28">
        <f t="shared" si="135"/>
        <v>524.5200000000001</v>
      </c>
      <c r="AO113" s="28">
        <f t="shared" si="152"/>
        <v>655.65000000000009</v>
      </c>
      <c r="AP113" s="28">
        <f t="shared" si="152"/>
        <v>874.2</v>
      </c>
      <c r="AQ113" s="28">
        <f t="shared" si="152"/>
        <v>1748.4</v>
      </c>
      <c r="AS113" s="28">
        <f t="shared" si="136"/>
        <v>65.14200000000001</v>
      </c>
      <c r="AT113" s="28">
        <f t="shared" si="153"/>
        <v>81.427500000000009</v>
      </c>
      <c r="AU113" s="28">
        <f t="shared" si="153"/>
        <v>108.57000000000001</v>
      </c>
      <c r="AV113" s="28">
        <f t="shared" si="153"/>
        <v>217.14000000000001</v>
      </c>
      <c r="AX113" s="31">
        <f t="shared" si="137"/>
        <v>4230</v>
      </c>
      <c r="AY113" s="31">
        <f t="shared" si="154"/>
        <v>5287.5000000000009</v>
      </c>
      <c r="AZ113" s="31">
        <f t="shared" si="154"/>
        <v>7050.0000000000009</v>
      </c>
      <c r="BA113" s="31">
        <f t="shared" si="154"/>
        <v>14100.000000000002</v>
      </c>
      <c r="BD113" s="55">
        <f t="shared" si="82"/>
        <v>36.483750000000008</v>
      </c>
      <c r="BE113" s="55">
        <f t="shared" si="83"/>
        <v>48.64500000000001</v>
      </c>
      <c r="BF113" s="55">
        <f t="shared" si="84"/>
        <v>97.29000000000002</v>
      </c>
      <c r="BI113" s="55">
        <f t="shared" si="85"/>
        <v>189.82125000000002</v>
      </c>
      <c r="BJ113" s="55">
        <f t="shared" si="86"/>
        <v>253.09500000000003</v>
      </c>
      <c r="BK113" s="55">
        <f t="shared" si="87"/>
        <v>506.19000000000005</v>
      </c>
      <c r="BN113" s="56">
        <f t="shared" si="88"/>
        <v>68219.325000000012</v>
      </c>
      <c r="BO113" s="56">
        <f t="shared" si="89"/>
        <v>90959.1</v>
      </c>
      <c r="BP113" s="56">
        <f t="shared" si="90"/>
        <v>181918.2</v>
      </c>
      <c r="BR113" s="54"/>
    </row>
    <row r="114" spans="1:70" x14ac:dyDescent="0.2">
      <c r="A114" s="14">
        <v>52693</v>
      </c>
      <c r="B114" s="41" t="s">
        <v>103</v>
      </c>
      <c r="C114" s="17" t="s">
        <v>11</v>
      </c>
      <c r="D114" s="17" t="s">
        <v>5</v>
      </c>
      <c r="E114" s="18">
        <v>0.36</v>
      </c>
      <c r="F114" s="25">
        <v>0.83</v>
      </c>
      <c r="G114" s="17"/>
      <c r="H114" s="11">
        <v>20</v>
      </c>
      <c r="I114" s="30">
        <f t="shared" si="147"/>
        <v>1.51</v>
      </c>
      <c r="J114" s="22">
        <f t="shared" si="138"/>
        <v>2.0299999999999998</v>
      </c>
      <c r="K114" s="22">
        <f t="shared" si="139"/>
        <v>2.7</v>
      </c>
      <c r="L114" s="22">
        <f t="shared" si="127"/>
        <v>3.02</v>
      </c>
      <c r="M114" s="22">
        <f t="shared" si="128"/>
        <v>3.7749999999999999</v>
      </c>
      <c r="N114" s="22">
        <f t="shared" si="129"/>
        <v>4.53</v>
      </c>
      <c r="O114" s="22">
        <f t="shared" si="130"/>
        <v>5.2850000000000001</v>
      </c>
      <c r="P114" s="30">
        <f t="shared" si="148"/>
        <v>9.06</v>
      </c>
      <c r="Q114" s="30">
        <f t="shared" si="140"/>
        <v>10.192499999999999</v>
      </c>
      <c r="R114" s="30">
        <f t="shared" si="141"/>
        <v>10.758749999999999</v>
      </c>
      <c r="S114" s="30">
        <f t="shared" si="142"/>
        <v>10.569999999999999</v>
      </c>
      <c r="T114" s="30">
        <f t="shared" si="149"/>
        <v>11.324999999999999</v>
      </c>
      <c r="U114" s="30">
        <f t="shared" si="143"/>
        <v>15.1</v>
      </c>
      <c r="V114" s="30">
        <f t="shared" si="144"/>
        <v>30.2</v>
      </c>
      <c r="W114" s="22"/>
      <c r="X114" s="23">
        <f t="shared" si="131"/>
        <v>21140</v>
      </c>
      <c r="Y114" s="23"/>
      <c r="Z114" s="23">
        <f t="shared" si="132"/>
        <v>36240</v>
      </c>
      <c r="AA114" s="23">
        <f t="shared" si="150"/>
        <v>45300</v>
      </c>
      <c r="AB114" s="23">
        <f t="shared" si="150"/>
        <v>60400</v>
      </c>
      <c r="AE114" s="36">
        <f t="shared" si="133"/>
        <v>2.11</v>
      </c>
      <c r="AF114" s="37">
        <f t="shared" si="145"/>
        <v>2048.81</v>
      </c>
      <c r="AG114" s="28">
        <f t="shared" si="134"/>
        <v>8797.26</v>
      </c>
      <c r="AH114" s="28">
        <f t="shared" si="151"/>
        <v>10996.574999999999</v>
      </c>
      <c r="AI114" s="28">
        <f t="shared" si="151"/>
        <v>14662.1</v>
      </c>
      <c r="AJ114" s="28">
        <f t="shared" si="151"/>
        <v>29324.2</v>
      </c>
      <c r="AK114" s="38"/>
      <c r="AL114" s="39">
        <v>2.11</v>
      </c>
      <c r="AM114" s="40">
        <f t="shared" si="146"/>
        <v>130.82</v>
      </c>
      <c r="AN114" s="28">
        <f t="shared" si="135"/>
        <v>561.72</v>
      </c>
      <c r="AO114" s="28">
        <f t="shared" si="152"/>
        <v>702.15</v>
      </c>
      <c r="AP114" s="28">
        <f t="shared" si="152"/>
        <v>936.19999999999993</v>
      </c>
      <c r="AQ114" s="28">
        <f t="shared" si="152"/>
        <v>1872.3999999999999</v>
      </c>
      <c r="AS114" s="28">
        <f t="shared" si="136"/>
        <v>69.762</v>
      </c>
      <c r="AT114" s="28">
        <f t="shared" si="153"/>
        <v>87.202500000000001</v>
      </c>
      <c r="AU114" s="28">
        <f t="shared" si="153"/>
        <v>116.27</v>
      </c>
      <c r="AV114" s="28">
        <f t="shared" si="153"/>
        <v>232.54</v>
      </c>
      <c r="AX114" s="31">
        <f t="shared" si="137"/>
        <v>4530</v>
      </c>
      <c r="AY114" s="31">
        <f t="shared" si="154"/>
        <v>5662.5</v>
      </c>
      <c r="AZ114" s="31">
        <f t="shared" si="154"/>
        <v>7550</v>
      </c>
      <c r="BA114" s="31">
        <f t="shared" si="154"/>
        <v>15100</v>
      </c>
      <c r="BD114" s="55">
        <f t="shared" si="82"/>
        <v>39.071249999999999</v>
      </c>
      <c r="BE114" s="55">
        <f t="shared" si="83"/>
        <v>52.094999999999999</v>
      </c>
      <c r="BF114" s="55">
        <f t="shared" si="84"/>
        <v>104.19</v>
      </c>
      <c r="BI114" s="55">
        <f t="shared" si="85"/>
        <v>203.28374999999997</v>
      </c>
      <c r="BJ114" s="55">
        <f t="shared" si="86"/>
        <v>271.04499999999996</v>
      </c>
      <c r="BK114" s="55">
        <f t="shared" si="87"/>
        <v>542.08999999999992</v>
      </c>
      <c r="BN114" s="56">
        <f t="shared" si="88"/>
        <v>73057.574999999997</v>
      </c>
      <c r="BO114" s="56">
        <f t="shared" si="89"/>
        <v>97410.099999999991</v>
      </c>
      <c r="BP114" s="56">
        <f t="shared" si="90"/>
        <v>194820.19999999998</v>
      </c>
      <c r="BR114" s="54"/>
    </row>
    <row r="115" spans="1:70" x14ac:dyDescent="0.2">
      <c r="A115" s="3">
        <v>52694</v>
      </c>
      <c r="B115" s="53" t="s">
        <v>224</v>
      </c>
      <c r="C115" s="17" t="s">
        <v>11</v>
      </c>
      <c r="D115" s="17" t="s">
        <v>5</v>
      </c>
      <c r="E115" s="26">
        <v>0.47</v>
      </c>
      <c r="F115" s="25">
        <v>0.47</v>
      </c>
      <c r="G115" s="17"/>
      <c r="H115" s="11">
        <v>10</v>
      </c>
      <c r="I115" s="17">
        <f t="shared" si="147"/>
        <v>1.1499999999999999</v>
      </c>
      <c r="J115" s="22">
        <f t="shared" si="138"/>
        <v>1.67</v>
      </c>
      <c r="K115" s="22">
        <f t="shared" si="139"/>
        <v>2.34</v>
      </c>
      <c r="L115" s="22">
        <f t="shared" si="127"/>
        <v>2.2999999999999998</v>
      </c>
      <c r="M115" s="22">
        <f t="shared" si="128"/>
        <v>2.875</v>
      </c>
      <c r="N115" s="22">
        <f t="shared" si="129"/>
        <v>3.4499999999999997</v>
      </c>
      <c r="O115" s="22">
        <f t="shared" si="130"/>
        <v>4.0249999999999995</v>
      </c>
      <c r="P115" s="30">
        <f t="shared" si="148"/>
        <v>6.9</v>
      </c>
      <c r="Q115" s="30">
        <f t="shared" si="140"/>
        <v>7.7625000000000002</v>
      </c>
      <c r="R115" s="30">
        <f t="shared" si="141"/>
        <v>8.1937499999999996</v>
      </c>
      <c r="S115" s="30">
        <f t="shared" si="142"/>
        <v>8.0499999999999989</v>
      </c>
      <c r="T115" s="30">
        <f t="shared" si="149"/>
        <v>8.625</v>
      </c>
      <c r="U115" s="30">
        <f t="shared" si="143"/>
        <v>11.5</v>
      </c>
      <c r="V115" s="30">
        <f t="shared" si="144"/>
        <v>23</v>
      </c>
      <c r="W115" s="22"/>
      <c r="X115" s="23">
        <f t="shared" si="131"/>
        <v>16099.999999999998</v>
      </c>
      <c r="Y115" s="23"/>
      <c r="Z115" s="23">
        <f t="shared" si="132"/>
        <v>27600</v>
      </c>
      <c r="AA115" s="23">
        <f t="shared" si="150"/>
        <v>34500</v>
      </c>
      <c r="AB115" s="23">
        <f t="shared" si="150"/>
        <v>46000</v>
      </c>
      <c r="AE115" s="36">
        <f t="shared" si="133"/>
        <v>1.75</v>
      </c>
      <c r="AF115" s="37">
        <f t="shared" si="145"/>
        <v>1699.25</v>
      </c>
      <c r="AG115" s="28">
        <f t="shared" si="134"/>
        <v>6699.9000000000005</v>
      </c>
      <c r="AH115" s="28">
        <f t="shared" si="151"/>
        <v>8374.875</v>
      </c>
      <c r="AI115" s="28">
        <f t="shared" si="151"/>
        <v>11166.5</v>
      </c>
      <c r="AJ115" s="28">
        <f t="shared" si="151"/>
        <v>22333</v>
      </c>
      <c r="AK115" s="38"/>
      <c r="AL115" s="39">
        <v>1.75</v>
      </c>
      <c r="AM115" s="40">
        <f t="shared" si="146"/>
        <v>108.5</v>
      </c>
      <c r="AN115" s="28">
        <f t="shared" si="135"/>
        <v>427.8</v>
      </c>
      <c r="AO115" s="28">
        <f t="shared" si="152"/>
        <v>534.75</v>
      </c>
      <c r="AP115" s="28">
        <f t="shared" si="152"/>
        <v>713</v>
      </c>
      <c r="AQ115" s="28">
        <f t="shared" si="152"/>
        <v>1426</v>
      </c>
      <c r="AS115" s="28">
        <f t="shared" si="136"/>
        <v>53.13</v>
      </c>
      <c r="AT115" s="28">
        <f t="shared" si="153"/>
        <v>66.412500000000009</v>
      </c>
      <c r="AU115" s="28">
        <f t="shared" si="153"/>
        <v>88.55</v>
      </c>
      <c r="AV115" s="28">
        <f t="shared" si="153"/>
        <v>177.1</v>
      </c>
      <c r="AX115" s="31">
        <f t="shared" si="137"/>
        <v>3450</v>
      </c>
      <c r="AY115" s="31">
        <f t="shared" si="154"/>
        <v>4312.5</v>
      </c>
      <c r="AZ115" s="31">
        <f t="shared" si="154"/>
        <v>5750</v>
      </c>
      <c r="BA115" s="31">
        <f t="shared" si="154"/>
        <v>11500</v>
      </c>
      <c r="BD115" s="55">
        <f t="shared" si="82"/>
        <v>29.756250000000001</v>
      </c>
      <c r="BE115" s="55">
        <f t="shared" si="83"/>
        <v>39.675000000000004</v>
      </c>
      <c r="BF115" s="55">
        <f t="shared" si="84"/>
        <v>79.350000000000009</v>
      </c>
      <c r="BI115" s="55">
        <f t="shared" si="85"/>
        <v>154.81874999999999</v>
      </c>
      <c r="BJ115" s="55">
        <f t="shared" si="86"/>
        <v>206.42499999999998</v>
      </c>
      <c r="BK115" s="55">
        <f t="shared" si="87"/>
        <v>412.84999999999997</v>
      </c>
      <c r="BN115" s="56">
        <f t="shared" si="88"/>
        <v>55639.875</v>
      </c>
      <c r="BO115" s="56">
        <f t="shared" si="89"/>
        <v>74186.5</v>
      </c>
      <c r="BP115" s="56">
        <f t="shared" si="90"/>
        <v>148373</v>
      </c>
      <c r="BR115" s="54"/>
    </row>
    <row r="116" spans="1:70" x14ac:dyDescent="0.2">
      <c r="A116" s="14">
        <v>52695</v>
      </c>
      <c r="B116" s="42" t="s">
        <v>105</v>
      </c>
      <c r="C116" s="17" t="s">
        <v>4</v>
      </c>
      <c r="D116" s="17" t="s">
        <v>5</v>
      </c>
      <c r="E116" s="18">
        <v>0.47</v>
      </c>
      <c r="F116" s="25">
        <v>0.93</v>
      </c>
      <c r="G116" s="17"/>
      <c r="H116" s="11">
        <v>20</v>
      </c>
      <c r="I116" s="17">
        <f t="shared" si="147"/>
        <v>1.61</v>
      </c>
      <c r="J116" s="22">
        <f t="shared" si="138"/>
        <v>2.13</v>
      </c>
      <c r="K116" s="22">
        <f t="shared" si="139"/>
        <v>2.8000000000000003</v>
      </c>
      <c r="L116" s="22">
        <f t="shared" si="127"/>
        <v>3.22</v>
      </c>
      <c r="M116" s="22">
        <f t="shared" si="128"/>
        <v>4.0250000000000004</v>
      </c>
      <c r="N116" s="22">
        <f t="shared" si="129"/>
        <v>4.83</v>
      </c>
      <c r="O116" s="22">
        <f t="shared" si="130"/>
        <v>5.6350000000000007</v>
      </c>
      <c r="P116" s="30">
        <f t="shared" si="148"/>
        <v>9.6600000000000019</v>
      </c>
      <c r="Q116" s="30">
        <f t="shared" si="140"/>
        <v>10.867500000000001</v>
      </c>
      <c r="R116" s="30">
        <f t="shared" si="141"/>
        <v>11.471250000000001</v>
      </c>
      <c r="S116" s="30">
        <f t="shared" si="142"/>
        <v>11.27</v>
      </c>
      <c r="T116" s="30">
        <f t="shared" si="149"/>
        <v>12.075000000000001</v>
      </c>
      <c r="U116" s="30">
        <f t="shared" si="143"/>
        <v>16.100000000000001</v>
      </c>
      <c r="V116" s="30">
        <f t="shared" si="144"/>
        <v>32.200000000000003</v>
      </c>
      <c r="W116" s="22"/>
      <c r="X116" s="23">
        <f t="shared" si="131"/>
        <v>22540.000000000004</v>
      </c>
      <c r="Y116" s="23"/>
      <c r="Z116" s="23">
        <f t="shared" si="132"/>
        <v>38640.000000000007</v>
      </c>
      <c r="AA116" s="23">
        <f t="shared" si="150"/>
        <v>48300.000000000007</v>
      </c>
      <c r="AB116" s="23">
        <f t="shared" si="150"/>
        <v>64400.000000000007</v>
      </c>
      <c r="AE116" s="36">
        <f t="shared" si="133"/>
        <v>2.21</v>
      </c>
      <c r="AF116" s="37">
        <f t="shared" si="145"/>
        <v>2145.91</v>
      </c>
      <c r="AG116" s="28">
        <f t="shared" si="134"/>
        <v>9379.8600000000024</v>
      </c>
      <c r="AH116" s="28">
        <f t="shared" si="151"/>
        <v>11724.825000000001</v>
      </c>
      <c r="AI116" s="28">
        <f t="shared" si="151"/>
        <v>15633.100000000002</v>
      </c>
      <c r="AJ116" s="28">
        <f t="shared" si="151"/>
        <v>31266.200000000004</v>
      </c>
      <c r="AK116" s="38"/>
      <c r="AL116" s="39">
        <v>2.21</v>
      </c>
      <c r="AM116" s="40">
        <f t="shared" si="146"/>
        <v>137.02000000000001</v>
      </c>
      <c r="AN116" s="28">
        <f t="shared" si="135"/>
        <v>598.92000000000007</v>
      </c>
      <c r="AO116" s="28">
        <f t="shared" si="152"/>
        <v>748.65000000000009</v>
      </c>
      <c r="AP116" s="28">
        <f t="shared" si="152"/>
        <v>998.2</v>
      </c>
      <c r="AQ116" s="28">
        <f t="shared" si="152"/>
        <v>1996.4</v>
      </c>
      <c r="AS116" s="28">
        <f t="shared" si="136"/>
        <v>74.382000000000019</v>
      </c>
      <c r="AT116" s="28">
        <f t="shared" si="153"/>
        <v>92.977500000000006</v>
      </c>
      <c r="AU116" s="28">
        <f t="shared" si="153"/>
        <v>123.97000000000001</v>
      </c>
      <c r="AV116" s="28">
        <f t="shared" si="153"/>
        <v>247.94000000000003</v>
      </c>
      <c r="AX116" s="31">
        <f t="shared" si="137"/>
        <v>4830.0000000000009</v>
      </c>
      <c r="AY116" s="31">
        <f t="shared" si="154"/>
        <v>6037.5000000000009</v>
      </c>
      <c r="AZ116" s="31">
        <f t="shared" si="154"/>
        <v>8050.0000000000009</v>
      </c>
      <c r="BA116" s="31">
        <f t="shared" si="154"/>
        <v>16100.000000000002</v>
      </c>
      <c r="BD116" s="55">
        <f t="shared" si="82"/>
        <v>41.658750000000005</v>
      </c>
      <c r="BE116" s="55">
        <f t="shared" si="83"/>
        <v>55.545000000000009</v>
      </c>
      <c r="BF116" s="55">
        <f t="shared" si="84"/>
        <v>111.09000000000002</v>
      </c>
      <c r="BI116" s="55">
        <f t="shared" si="85"/>
        <v>216.74625</v>
      </c>
      <c r="BJ116" s="55">
        <f t="shared" si="86"/>
        <v>288.995</v>
      </c>
      <c r="BK116" s="55">
        <f t="shared" si="87"/>
        <v>577.99</v>
      </c>
      <c r="BN116" s="56">
        <f t="shared" si="88"/>
        <v>77895.825000000012</v>
      </c>
      <c r="BO116" s="56">
        <f t="shared" si="89"/>
        <v>103861.1</v>
      </c>
      <c r="BP116" s="56">
        <f t="shared" si="90"/>
        <v>207722.2</v>
      </c>
      <c r="BR116" s="54"/>
    </row>
    <row r="117" spans="1:70" x14ac:dyDescent="0.2">
      <c r="A117" s="3">
        <v>52697</v>
      </c>
      <c r="B117" s="42" t="s">
        <v>106</v>
      </c>
      <c r="C117" s="17" t="s">
        <v>4</v>
      </c>
      <c r="D117" s="17" t="s">
        <v>5</v>
      </c>
      <c r="E117" s="26">
        <v>0.56000000000000005</v>
      </c>
      <c r="F117" s="8">
        <v>0.56000000000000005</v>
      </c>
      <c r="G117" s="17"/>
      <c r="H117" s="11">
        <v>10</v>
      </c>
      <c r="I117" s="17">
        <f t="shared" si="147"/>
        <v>1.2400000000000002</v>
      </c>
      <c r="J117" s="22">
        <f t="shared" si="138"/>
        <v>1.76</v>
      </c>
      <c r="K117" s="22">
        <f t="shared" si="139"/>
        <v>2.4300000000000002</v>
      </c>
      <c r="L117" s="22">
        <f t="shared" si="127"/>
        <v>2.4800000000000004</v>
      </c>
      <c r="M117" s="22">
        <f t="shared" si="128"/>
        <v>3.1000000000000005</v>
      </c>
      <c r="N117" s="22">
        <f t="shared" si="129"/>
        <v>3.7200000000000006</v>
      </c>
      <c r="O117" s="22">
        <f t="shared" si="130"/>
        <v>4.3400000000000007</v>
      </c>
      <c r="P117" s="30">
        <f t="shared" si="148"/>
        <v>7.4400000000000013</v>
      </c>
      <c r="Q117" s="30">
        <f t="shared" si="140"/>
        <v>8.370000000000001</v>
      </c>
      <c r="R117" s="30">
        <f t="shared" si="141"/>
        <v>8.8350000000000009</v>
      </c>
      <c r="S117" s="30">
        <f t="shared" si="142"/>
        <v>8.6800000000000015</v>
      </c>
      <c r="T117" s="30">
        <f t="shared" si="149"/>
        <v>9.3000000000000007</v>
      </c>
      <c r="U117" s="30">
        <f t="shared" si="143"/>
        <v>12.400000000000002</v>
      </c>
      <c r="V117" s="30">
        <f t="shared" si="144"/>
        <v>24.800000000000004</v>
      </c>
      <c r="W117" s="22"/>
      <c r="X117" s="23">
        <f t="shared" si="131"/>
        <v>17360.000000000004</v>
      </c>
      <c r="Y117" s="23"/>
      <c r="Z117" s="23">
        <f t="shared" si="132"/>
        <v>29760.000000000004</v>
      </c>
      <c r="AA117" s="23">
        <f t="shared" si="150"/>
        <v>37200</v>
      </c>
      <c r="AB117" s="23">
        <f t="shared" si="150"/>
        <v>49600.000000000007</v>
      </c>
      <c r="AE117" s="36">
        <f t="shared" si="133"/>
        <v>1.8400000000000003</v>
      </c>
      <c r="AF117" s="37">
        <f t="shared" si="145"/>
        <v>1786.6400000000003</v>
      </c>
      <c r="AG117" s="28">
        <f t="shared" si="134"/>
        <v>7224.2400000000016</v>
      </c>
      <c r="AH117" s="28">
        <f t="shared" si="151"/>
        <v>9030.3000000000011</v>
      </c>
      <c r="AI117" s="28">
        <f t="shared" si="151"/>
        <v>12040.400000000001</v>
      </c>
      <c r="AJ117" s="28">
        <f t="shared" si="151"/>
        <v>24080.800000000003</v>
      </c>
      <c r="AK117" s="38"/>
      <c r="AL117" s="39">
        <v>1.8400000000000003</v>
      </c>
      <c r="AM117" s="40">
        <f t="shared" si="146"/>
        <v>114.08000000000001</v>
      </c>
      <c r="AN117" s="28">
        <f t="shared" si="135"/>
        <v>461.28000000000009</v>
      </c>
      <c r="AO117" s="28">
        <f t="shared" si="152"/>
        <v>576.6</v>
      </c>
      <c r="AP117" s="28">
        <f t="shared" si="152"/>
        <v>768.80000000000018</v>
      </c>
      <c r="AQ117" s="28">
        <f t="shared" si="152"/>
        <v>1537.6000000000004</v>
      </c>
      <c r="AS117" s="28">
        <f t="shared" si="136"/>
        <v>57.288000000000011</v>
      </c>
      <c r="AT117" s="28">
        <f t="shared" si="153"/>
        <v>71.610000000000014</v>
      </c>
      <c r="AU117" s="28">
        <f t="shared" si="153"/>
        <v>95.480000000000018</v>
      </c>
      <c r="AV117" s="28">
        <f t="shared" si="153"/>
        <v>190.96000000000004</v>
      </c>
      <c r="AX117" s="31">
        <f t="shared" si="137"/>
        <v>3720.0000000000005</v>
      </c>
      <c r="AY117" s="31">
        <f t="shared" si="154"/>
        <v>4650</v>
      </c>
      <c r="AZ117" s="31">
        <f t="shared" si="154"/>
        <v>6200.0000000000009</v>
      </c>
      <c r="BA117" s="31">
        <f t="shared" si="154"/>
        <v>12400.000000000002</v>
      </c>
      <c r="BD117" s="55">
        <f t="shared" si="82"/>
        <v>32.085000000000001</v>
      </c>
      <c r="BE117" s="55">
        <f t="shared" si="83"/>
        <v>42.780000000000008</v>
      </c>
      <c r="BF117" s="55">
        <f t="shared" si="84"/>
        <v>85.560000000000016</v>
      </c>
      <c r="BI117" s="55">
        <f t="shared" si="85"/>
        <v>166.935</v>
      </c>
      <c r="BJ117" s="55">
        <f t="shared" si="86"/>
        <v>222.58000000000004</v>
      </c>
      <c r="BK117" s="55">
        <f t="shared" si="87"/>
        <v>445.16000000000008</v>
      </c>
      <c r="BN117" s="56">
        <f t="shared" si="88"/>
        <v>59994.3</v>
      </c>
      <c r="BO117" s="56">
        <f t="shared" si="89"/>
        <v>79992.400000000009</v>
      </c>
      <c r="BP117" s="56">
        <f t="shared" si="90"/>
        <v>159984.80000000002</v>
      </c>
      <c r="BR117" s="54"/>
    </row>
    <row r="118" spans="1:70" x14ac:dyDescent="0.2">
      <c r="A118" s="14">
        <v>52700</v>
      </c>
      <c r="B118" s="42" t="s">
        <v>107</v>
      </c>
      <c r="C118" s="17" t="s">
        <v>8</v>
      </c>
      <c r="D118" s="17" t="s">
        <v>5</v>
      </c>
      <c r="E118" s="18">
        <v>0.52</v>
      </c>
      <c r="F118" s="25">
        <v>1.1599999999999999</v>
      </c>
      <c r="G118" s="17"/>
      <c r="H118" s="11">
        <v>20</v>
      </c>
      <c r="I118" s="17">
        <f t="shared" si="147"/>
        <v>1.8399999999999999</v>
      </c>
      <c r="J118" s="22">
        <f t="shared" si="138"/>
        <v>2.36</v>
      </c>
      <c r="K118" s="22">
        <f t="shared" si="139"/>
        <v>3.0300000000000002</v>
      </c>
      <c r="L118" s="22">
        <f t="shared" si="127"/>
        <v>3.6799999999999997</v>
      </c>
      <c r="M118" s="22">
        <f t="shared" si="128"/>
        <v>4.5999999999999996</v>
      </c>
      <c r="N118" s="22">
        <f t="shared" si="129"/>
        <v>5.52</v>
      </c>
      <c r="O118" s="22">
        <f t="shared" si="130"/>
        <v>6.4399999999999995</v>
      </c>
      <c r="P118" s="30">
        <f t="shared" si="148"/>
        <v>11.04</v>
      </c>
      <c r="Q118" s="30">
        <f t="shared" si="140"/>
        <v>12.42</v>
      </c>
      <c r="R118" s="30">
        <f t="shared" si="141"/>
        <v>13.109999999999998</v>
      </c>
      <c r="S118" s="30">
        <f t="shared" si="142"/>
        <v>12.879999999999999</v>
      </c>
      <c r="T118" s="30">
        <f t="shared" si="149"/>
        <v>13.799999999999999</v>
      </c>
      <c r="U118" s="30">
        <f t="shared" si="143"/>
        <v>18.399999999999999</v>
      </c>
      <c r="V118" s="30">
        <f t="shared" si="144"/>
        <v>36.799999999999997</v>
      </c>
      <c r="W118" s="22"/>
      <c r="X118" s="23">
        <f t="shared" si="131"/>
        <v>25759.999999999996</v>
      </c>
      <c r="Y118" s="23"/>
      <c r="Z118" s="23">
        <f t="shared" si="132"/>
        <v>44160</v>
      </c>
      <c r="AA118" s="23">
        <f t="shared" si="150"/>
        <v>55199.999999999993</v>
      </c>
      <c r="AB118" s="23">
        <f t="shared" si="150"/>
        <v>73600</v>
      </c>
      <c r="AE118" s="36">
        <f t="shared" si="133"/>
        <v>2.44</v>
      </c>
      <c r="AF118" s="37">
        <f t="shared" si="145"/>
        <v>2369.2399999999998</v>
      </c>
      <c r="AG118" s="28">
        <f t="shared" si="134"/>
        <v>10719.839999999998</v>
      </c>
      <c r="AH118" s="28">
        <f t="shared" si="151"/>
        <v>13399.8</v>
      </c>
      <c r="AI118" s="28">
        <f t="shared" si="151"/>
        <v>17866.399999999998</v>
      </c>
      <c r="AJ118" s="28">
        <f t="shared" si="151"/>
        <v>35732.799999999996</v>
      </c>
      <c r="AK118" s="38"/>
      <c r="AL118" s="39">
        <v>2.44</v>
      </c>
      <c r="AM118" s="40">
        <f t="shared" si="146"/>
        <v>151.28</v>
      </c>
      <c r="AN118" s="28">
        <f t="shared" si="135"/>
        <v>684.4799999999999</v>
      </c>
      <c r="AO118" s="28">
        <f t="shared" si="152"/>
        <v>855.59999999999991</v>
      </c>
      <c r="AP118" s="28">
        <f t="shared" si="152"/>
        <v>1140.8</v>
      </c>
      <c r="AQ118" s="28">
        <f t="shared" si="152"/>
        <v>2281.6</v>
      </c>
      <c r="AS118" s="28">
        <f t="shared" si="136"/>
        <v>85.007999999999996</v>
      </c>
      <c r="AT118" s="28">
        <f t="shared" si="153"/>
        <v>106.25999999999999</v>
      </c>
      <c r="AU118" s="28">
        <f t="shared" si="153"/>
        <v>141.67999999999998</v>
      </c>
      <c r="AV118" s="28">
        <f t="shared" si="153"/>
        <v>283.35999999999996</v>
      </c>
      <c r="AX118" s="31">
        <f t="shared" si="137"/>
        <v>5520</v>
      </c>
      <c r="AY118" s="31">
        <f t="shared" si="154"/>
        <v>6899.9999999999991</v>
      </c>
      <c r="AZ118" s="31">
        <f t="shared" si="154"/>
        <v>9200</v>
      </c>
      <c r="BA118" s="31">
        <f t="shared" si="154"/>
        <v>18400</v>
      </c>
      <c r="BD118" s="55">
        <f t="shared" si="82"/>
        <v>47.61</v>
      </c>
      <c r="BE118" s="55">
        <f t="shared" si="83"/>
        <v>63.48</v>
      </c>
      <c r="BF118" s="55">
        <f t="shared" si="84"/>
        <v>126.96</v>
      </c>
      <c r="BI118" s="55">
        <f t="shared" si="85"/>
        <v>247.70999999999998</v>
      </c>
      <c r="BJ118" s="55">
        <f t="shared" si="86"/>
        <v>330.28</v>
      </c>
      <c r="BK118" s="55">
        <f t="shared" si="87"/>
        <v>660.56</v>
      </c>
      <c r="BN118" s="56">
        <f t="shared" si="88"/>
        <v>89023.799999999988</v>
      </c>
      <c r="BO118" s="56">
        <f t="shared" si="89"/>
        <v>118698.4</v>
      </c>
      <c r="BP118" s="56">
        <f t="shared" si="90"/>
        <v>237396.8</v>
      </c>
      <c r="BR118" s="54"/>
    </row>
    <row r="119" spans="1:70" x14ac:dyDescent="0.2">
      <c r="A119" s="14">
        <v>52782</v>
      </c>
      <c r="B119" s="51" t="s">
        <v>175</v>
      </c>
      <c r="C119" s="52" t="s">
        <v>19</v>
      </c>
      <c r="D119" s="52" t="s">
        <v>20</v>
      </c>
      <c r="E119" s="18"/>
      <c r="F119" s="25">
        <v>0.79</v>
      </c>
      <c r="G119" s="17"/>
      <c r="H119" s="11"/>
      <c r="I119" s="17">
        <f t="shared" si="147"/>
        <v>1.4700000000000002</v>
      </c>
      <c r="J119" s="22">
        <f t="shared" si="138"/>
        <v>1.99</v>
      </c>
      <c r="K119" s="22">
        <f t="shared" si="139"/>
        <v>2.66</v>
      </c>
      <c r="L119" s="22">
        <f t="shared" si="127"/>
        <v>2.9400000000000004</v>
      </c>
      <c r="M119" s="22">
        <f t="shared" si="128"/>
        <v>3.6750000000000007</v>
      </c>
      <c r="N119" s="22">
        <f t="shared" si="129"/>
        <v>4.41</v>
      </c>
      <c r="O119" s="22">
        <f t="shared" si="130"/>
        <v>5.1450000000000005</v>
      </c>
      <c r="P119" s="30">
        <f t="shared" si="148"/>
        <v>8.8200000000000021</v>
      </c>
      <c r="Q119" s="30">
        <f t="shared" si="140"/>
        <v>9.922500000000003</v>
      </c>
      <c r="R119" s="30">
        <f t="shared" si="141"/>
        <v>10.473750000000001</v>
      </c>
      <c r="S119" s="30">
        <f t="shared" si="142"/>
        <v>10.290000000000001</v>
      </c>
      <c r="T119" s="30">
        <f t="shared" si="149"/>
        <v>11.025000000000002</v>
      </c>
      <c r="U119" s="30">
        <f t="shared" si="143"/>
        <v>14.700000000000003</v>
      </c>
      <c r="V119" s="30">
        <f t="shared" si="144"/>
        <v>29.400000000000006</v>
      </c>
      <c r="W119" s="22"/>
      <c r="X119" s="23">
        <f t="shared" si="131"/>
        <v>20580.000000000004</v>
      </c>
      <c r="Y119" s="23"/>
      <c r="Z119" s="23">
        <f t="shared" si="132"/>
        <v>35280.000000000007</v>
      </c>
      <c r="AA119" s="23">
        <f t="shared" si="150"/>
        <v>44100.000000000007</v>
      </c>
      <c r="AB119" s="23">
        <f t="shared" si="150"/>
        <v>58800.000000000015</v>
      </c>
      <c r="AE119" s="36">
        <f t="shared" si="133"/>
        <v>2.0700000000000003</v>
      </c>
      <c r="AF119" s="37">
        <f t="shared" si="145"/>
        <v>2009.9700000000003</v>
      </c>
      <c r="AG119" s="28">
        <f t="shared" si="134"/>
        <v>8564.2200000000012</v>
      </c>
      <c r="AH119" s="28">
        <f t="shared" si="151"/>
        <v>10705.275000000001</v>
      </c>
      <c r="AI119" s="28">
        <f t="shared" si="151"/>
        <v>14273.700000000003</v>
      </c>
      <c r="AJ119" s="28">
        <f t="shared" si="151"/>
        <v>28547.400000000005</v>
      </c>
      <c r="AK119" s="38"/>
      <c r="AL119" s="39"/>
      <c r="AM119" s="40"/>
      <c r="AN119" s="28">
        <f t="shared" si="135"/>
        <v>546.84000000000015</v>
      </c>
      <c r="AO119" s="28">
        <f t="shared" si="152"/>
        <v>683.55000000000018</v>
      </c>
      <c r="AP119" s="28">
        <f t="shared" si="152"/>
        <v>911.4000000000002</v>
      </c>
      <c r="AQ119" s="28">
        <f t="shared" si="152"/>
        <v>1822.8000000000004</v>
      </c>
      <c r="AS119" s="28">
        <f t="shared" si="136"/>
        <v>67.914000000000016</v>
      </c>
      <c r="AT119" s="28">
        <f t="shared" si="153"/>
        <v>84.892500000000013</v>
      </c>
      <c r="AU119" s="28">
        <f t="shared" si="153"/>
        <v>113.19000000000003</v>
      </c>
      <c r="AV119" s="28">
        <f t="shared" si="153"/>
        <v>226.38000000000005</v>
      </c>
      <c r="AX119" s="31">
        <f t="shared" si="137"/>
        <v>4410.0000000000009</v>
      </c>
      <c r="AY119" s="31">
        <f t="shared" si="154"/>
        <v>5512.5000000000009</v>
      </c>
      <c r="AZ119" s="31">
        <f t="shared" si="154"/>
        <v>7350.0000000000018</v>
      </c>
      <c r="BA119" s="31">
        <f t="shared" si="154"/>
        <v>14700.000000000004</v>
      </c>
      <c r="BD119" s="55">
        <f t="shared" si="82"/>
        <v>38.03625000000001</v>
      </c>
      <c r="BE119" s="55">
        <f t="shared" si="83"/>
        <v>50.715000000000011</v>
      </c>
      <c r="BF119" s="55">
        <f t="shared" si="84"/>
        <v>101.43000000000002</v>
      </c>
      <c r="BI119" s="55">
        <f t="shared" si="85"/>
        <v>197.89875000000004</v>
      </c>
      <c r="BJ119" s="55">
        <f t="shared" si="86"/>
        <v>263.86500000000007</v>
      </c>
      <c r="BK119" s="55">
        <f t="shared" si="87"/>
        <v>527.73000000000013</v>
      </c>
      <c r="BN119" s="56">
        <f t="shared" si="88"/>
        <v>71122.275000000009</v>
      </c>
      <c r="BO119" s="56">
        <f t="shared" si="89"/>
        <v>94829.700000000012</v>
      </c>
      <c r="BP119" s="56">
        <f t="shared" si="90"/>
        <v>189659.40000000002</v>
      </c>
      <c r="BR119" s="54"/>
    </row>
    <row r="120" spans="1:70" x14ac:dyDescent="0.2">
      <c r="A120" s="14">
        <v>52793</v>
      </c>
      <c r="B120" s="51" t="s">
        <v>176</v>
      </c>
      <c r="C120" s="17" t="s">
        <v>4</v>
      </c>
      <c r="D120" s="17" t="s">
        <v>5</v>
      </c>
      <c r="E120" s="18">
        <v>0.45</v>
      </c>
      <c r="F120" s="25">
        <v>1.21</v>
      </c>
      <c r="G120" s="17"/>
      <c r="H120" s="17">
        <v>30</v>
      </c>
      <c r="I120" s="30">
        <f t="shared" si="147"/>
        <v>1.8900000000000001</v>
      </c>
      <c r="J120" s="22">
        <f t="shared" si="138"/>
        <v>2.41</v>
      </c>
      <c r="K120" s="22">
        <f t="shared" si="139"/>
        <v>3.08</v>
      </c>
      <c r="L120" s="22">
        <f t="shared" si="127"/>
        <v>3.7800000000000002</v>
      </c>
      <c r="M120" s="22">
        <f t="shared" si="128"/>
        <v>4.7250000000000005</v>
      </c>
      <c r="N120" s="22">
        <f t="shared" si="129"/>
        <v>5.67</v>
      </c>
      <c r="O120" s="22">
        <f t="shared" si="130"/>
        <v>6.6150000000000002</v>
      </c>
      <c r="P120" s="30">
        <f t="shared" si="148"/>
        <v>11.340000000000002</v>
      </c>
      <c r="Q120" s="30">
        <f t="shared" si="140"/>
        <v>12.7575</v>
      </c>
      <c r="R120" s="30">
        <f t="shared" si="141"/>
        <v>13.46625</v>
      </c>
      <c r="S120" s="30">
        <f t="shared" si="142"/>
        <v>13.23</v>
      </c>
      <c r="T120" s="30">
        <f t="shared" si="149"/>
        <v>14.175000000000001</v>
      </c>
      <c r="U120" s="30">
        <f t="shared" si="143"/>
        <v>18.900000000000002</v>
      </c>
      <c r="V120" s="30">
        <f t="shared" si="144"/>
        <v>37.800000000000004</v>
      </c>
      <c r="W120" s="22"/>
      <c r="X120" s="23">
        <f t="shared" si="131"/>
        <v>26460</v>
      </c>
      <c r="Y120" s="23"/>
      <c r="Z120" s="23">
        <f t="shared" si="132"/>
        <v>45360.000000000007</v>
      </c>
      <c r="AA120" s="23">
        <f t="shared" si="150"/>
        <v>56700</v>
      </c>
      <c r="AB120" s="23">
        <f t="shared" si="150"/>
        <v>75600.000000000015</v>
      </c>
      <c r="AE120" s="36">
        <f t="shared" si="133"/>
        <v>2.4900000000000002</v>
      </c>
      <c r="AF120" s="37">
        <f t="shared" si="145"/>
        <v>2417.7900000000004</v>
      </c>
      <c r="AG120" s="28">
        <f t="shared" si="134"/>
        <v>11011.140000000001</v>
      </c>
      <c r="AH120" s="28">
        <f t="shared" si="151"/>
        <v>13763.925000000001</v>
      </c>
      <c r="AI120" s="28">
        <f t="shared" si="151"/>
        <v>18351.900000000001</v>
      </c>
      <c r="AJ120" s="28">
        <f t="shared" si="151"/>
        <v>36703.800000000003</v>
      </c>
      <c r="AK120" s="38"/>
      <c r="AL120" s="39">
        <v>2.4900000000000002</v>
      </c>
      <c r="AM120" s="40">
        <f t="shared" si="146"/>
        <v>154.38000000000002</v>
      </c>
      <c r="AN120" s="28">
        <f t="shared" si="135"/>
        <v>703.08000000000015</v>
      </c>
      <c r="AO120" s="28">
        <f t="shared" si="152"/>
        <v>878.85</v>
      </c>
      <c r="AP120" s="28">
        <f t="shared" si="152"/>
        <v>1171.8000000000002</v>
      </c>
      <c r="AQ120" s="28">
        <f t="shared" si="152"/>
        <v>2343.6000000000004</v>
      </c>
      <c r="AS120" s="28">
        <f t="shared" si="136"/>
        <v>87.318000000000012</v>
      </c>
      <c r="AT120" s="28">
        <f t="shared" si="153"/>
        <v>109.14750000000001</v>
      </c>
      <c r="AU120" s="28">
        <f t="shared" si="153"/>
        <v>145.53000000000003</v>
      </c>
      <c r="AV120" s="28">
        <f t="shared" si="153"/>
        <v>291.06000000000006</v>
      </c>
      <c r="AX120" s="31">
        <f t="shared" si="137"/>
        <v>5670.0000000000009</v>
      </c>
      <c r="AY120" s="31">
        <f t="shared" si="154"/>
        <v>7087.5</v>
      </c>
      <c r="AZ120" s="31">
        <f t="shared" si="154"/>
        <v>9450.0000000000018</v>
      </c>
      <c r="BA120" s="31">
        <f t="shared" si="154"/>
        <v>18900.000000000004</v>
      </c>
      <c r="BD120" s="55">
        <f t="shared" si="82"/>
        <v>48.903750000000002</v>
      </c>
      <c r="BE120" s="55">
        <f t="shared" si="83"/>
        <v>65.205000000000013</v>
      </c>
      <c r="BF120" s="55">
        <f t="shared" si="84"/>
        <v>130.41000000000003</v>
      </c>
      <c r="BI120" s="55">
        <f t="shared" si="85"/>
        <v>254.44125</v>
      </c>
      <c r="BJ120" s="55">
        <f t="shared" si="86"/>
        <v>339.25500000000005</v>
      </c>
      <c r="BK120" s="55">
        <f t="shared" si="87"/>
        <v>678.5100000000001</v>
      </c>
      <c r="BN120" s="56">
        <f t="shared" si="88"/>
        <v>91442.925000000003</v>
      </c>
      <c r="BO120" s="56">
        <f t="shared" si="89"/>
        <v>121923.90000000001</v>
      </c>
      <c r="BP120" s="56">
        <f t="shared" si="90"/>
        <v>243847.80000000002</v>
      </c>
      <c r="BR120" s="54"/>
    </row>
    <row r="121" spans="1:70" x14ac:dyDescent="0.2">
      <c r="A121" s="6">
        <v>52795</v>
      </c>
      <c r="B121" s="53" t="s">
        <v>177</v>
      </c>
      <c r="C121" s="17" t="s">
        <v>4</v>
      </c>
      <c r="D121" s="17" t="s">
        <v>5</v>
      </c>
      <c r="E121" s="26">
        <v>0.45</v>
      </c>
      <c r="F121" s="25">
        <v>0.45</v>
      </c>
      <c r="G121" s="17"/>
      <c r="H121" s="17">
        <v>10</v>
      </c>
      <c r="I121" s="17">
        <f t="shared" si="147"/>
        <v>1.1300000000000001</v>
      </c>
      <c r="J121" s="22">
        <f t="shared" si="138"/>
        <v>1.65</v>
      </c>
      <c r="K121" s="22">
        <f t="shared" si="139"/>
        <v>2.3200000000000003</v>
      </c>
      <c r="L121" s="22">
        <f t="shared" si="127"/>
        <v>2.2600000000000002</v>
      </c>
      <c r="M121" s="22">
        <f t="shared" si="128"/>
        <v>2.8250000000000002</v>
      </c>
      <c r="N121" s="22">
        <f t="shared" si="129"/>
        <v>3.3900000000000006</v>
      </c>
      <c r="O121" s="22">
        <f t="shared" si="130"/>
        <v>3.9550000000000005</v>
      </c>
      <c r="P121" s="30">
        <f t="shared" si="148"/>
        <v>6.7800000000000011</v>
      </c>
      <c r="Q121" s="30">
        <f t="shared" si="140"/>
        <v>7.6275000000000013</v>
      </c>
      <c r="R121" s="30">
        <f t="shared" si="141"/>
        <v>8.0512500000000014</v>
      </c>
      <c r="S121" s="30">
        <f t="shared" si="142"/>
        <v>7.91</v>
      </c>
      <c r="T121" s="30">
        <f t="shared" si="149"/>
        <v>8.4750000000000014</v>
      </c>
      <c r="U121" s="30">
        <f t="shared" si="143"/>
        <v>11.3</v>
      </c>
      <c r="V121" s="30">
        <f t="shared" si="144"/>
        <v>22.6</v>
      </c>
      <c r="W121" s="22"/>
      <c r="X121" s="23">
        <f t="shared" si="131"/>
        <v>15820.000000000002</v>
      </c>
      <c r="Y121" s="23"/>
      <c r="Z121" s="23">
        <f t="shared" si="132"/>
        <v>27120.000000000004</v>
      </c>
      <c r="AA121" s="23">
        <f t="shared" si="150"/>
        <v>33900.000000000007</v>
      </c>
      <c r="AB121" s="23">
        <f t="shared" si="150"/>
        <v>45200</v>
      </c>
      <c r="AE121" s="36">
        <f t="shared" si="133"/>
        <v>1.73</v>
      </c>
      <c r="AF121" s="37">
        <f t="shared" si="145"/>
        <v>1679.83</v>
      </c>
      <c r="AG121" s="28">
        <f t="shared" si="134"/>
        <v>6583.380000000001</v>
      </c>
      <c r="AH121" s="28">
        <f t="shared" si="151"/>
        <v>8229.2250000000022</v>
      </c>
      <c r="AI121" s="28">
        <f t="shared" si="151"/>
        <v>10972.300000000001</v>
      </c>
      <c r="AJ121" s="28">
        <f t="shared" si="151"/>
        <v>21944.600000000002</v>
      </c>
      <c r="AK121" s="38"/>
      <c r="AL121" s="39">
        <v>1.73</v>
      </c>
      <c r="AM121" s="40">
        <f t="shared" si="146"/>
        <v>107.26</v>
      </c>
      <c r="AN121" s="28">
        <f t="shared" si="135"/>
        <v>420.36000000000007</v>
      </c>
      <c r="AO121" s="28">
        <f t="shared" si="152"/>
        <v>525.45000000000005</v>
      </c>
      <c r="AP121" s="28">
        <f t="shared" si="152"/>
        <v>700.6</v>
      </c>
      <c r="AQ121" s="28">
        <f t="shared" si="152"/>
        <v>1401.2</v>
      </c>
      <c r="AS121" s="28">
        <f t="shared" si="136"/>
        <v>52.20600000000001</v>
      </c>
      <c r="AT121" s="28">
        <f t="shared" si="153"/>
        <v>65.257500000000007</v>
      </c>
      <c r="AU121" s="28">
        <f t="shared" si="153"/>
        <v>87.01</v>
      </c>
      <c r="AV121" s="28">
        <f t="shared" si="153"/>
        <v>174.02</v>
      </c>
      <c r="AX121" s="31">
        <f t="shared" si="137"/>
        <v>3390.0000000000005</v>
      </c>
      <c r="AY121" s="31">
        <f t="shared" si="154"/>
        <v>4237.5000000000009</v>
      </c>
      <c r="AZ121" s="31">
        <f t="shared" si="154"/>
        <v>5650</v>
      </c>
      <c r="BA121" s="31">
        <f t="shared" si="154"/>
        <v>11300</v>
      </c>
      <c r="BD121" s="55">
        <f t="shared" si="82"/>
        <v>29.238750000000007</v>
      </c>
      <c r="BE121" s="55">
        <f t="shared" si="83"/>
        <v>38.985000000000007</v>
      </c>
      <c r="BF121" s="55">
        <f t="shared" si="84"/>
        <v>77.970000000000013</v>
      </c>
      <c r="BI121" s="55">
        <f t="shared" si="85"/>
        <v>152.12625000000003</v>
      </c>
      <c r="BJ121" s="55">
        <f t="shared" si="86"/>
        <v>202.83500000000001</v>
      </c>
      <c r="BK121" s="55">
        <f t="shared" si="87"/>
        <v>405.67</v>
      </c>
      <c r="BN121" s="56">
        <f t="shared" si="88"/>
        <v>54672.225000000006</v>
      </c>
      <c r="BO121" s="56">
        <f t="shared" si="89"/>
        <v>72896.3</v>
      </c>
      <c r="BP121" s="56">
        <f t="shared" si="90"/>
        <v>145792.6</v>
      </c>
      <c r="BR121" s="54"/>
    </row>
    <row r="122" spans="1:70" x14ac:dyDescent="0.2">
      <c r="A122" s="14">
        <v>52800</v>
      </c>
      <c r="B122" s="53" t="s">
        <v>178</v>
      </c>
      <c r="C122" s="17" t="s">
        <v>8</v>
      </c>
      <c r="D122" s="17" t="s">
        <v>5</v>
      </c>
      <c r="E122" s="18">
        <v>0.56999999999999995</v>
      </c>
      <c r="F122" s="25">
        <v>1.72</v>
      </c>
      <c r="G122" s="17"/>
      <c r="H122" s="17">
        <v>30</v>
      </c>
      <c r="I122" s="17">
        <f t="shared" si="147"/>
        <v>2.4</v>
      </c>
      <c r="J122" s="22">
        <f t="shared" si="138"/>
        <v>2.92</v>
      </c>
      <c r="K122" s="22">
        <f t="shared" si="139"/>
        <v>3.59</v>
      </c>
      <c r="L122" s="22">
        <f t="shared" si="127"/>
        <v>4.8</v>
      </c>
      <c r="M122" s="22">
        <f t="shared" si="128"/>
        <v>6</v>
      </c>
      <c r="N122" s="22">
        <f t="shared" si="129"/>
        <v>7.1999999999999993</v>
      </c>
      <c r="O122" s="22">
        <f t="shared" si="130"/>
        <v>8.4</v>
      </c>
      <c r="P122" s="30">
        <f t="shared" si="148"/>
        <v>14.4</v>
      </c>
      <c r="Q122" s="30">
        <f t="shared" si="140"/>
        <v>16.2</v>
      </c>
      <c r="R122" s="30">
        <f t="shared" si="141"/>
        <v>17.099999999999998</v>
      </c>
      <c r="S122" s="30">
        <f t="shared" si="142"/>
        <v>16.799999999999997</v>
      </c>
      <c r="T122" s="30">
        <f t="shared" si="149"/>
        <v>18</v>
      </c>
      <c r="U122" s="30">
        <f t="shared" si="143"/>
        <v>24</v>
      </c>
      <c r="V122" s="30">
        <f t="shared" si="144"/>
        <v>48</v>
      </c>
      <c r="W122" s="22"/>
      <c r="X122" s="23">
        <f t="shared" si="131"/>
        <v>33600</v>
      </c>
      <c r="Y122" s="23"/>
      <c r="Z122" s="23">
        <f t="shared" si="132"/>
        <v>57600</v>
      </c>
      <c r="AA122" s="23">
        <f t="shared" si="150"/>
        <v>72000</v>
      </c>
      <c r="AB122" s="23">
        <f t="shared" si="150"/>
        <v>96000</v>
      </c>
      <c r="AE122" s="36">
        <f t="shared" si="133"/>
        <v>3</v>
      </c>
      <c r="AF122" s="37">
        <f t="shared" si="145"/>
        <v>2913</v>
      </c>
      <c r="AG122" s="28">
        <f t="shared" si="134"/>
        <v>13982.4</v>
      </c>
      <c r="AH122" s="28">
        <f t="shared" si="151"/>
        <v>17478</v>
      </c>
      <c r="AI122" s="28">
        <f t="shared" si="151"/>
        <v>23304</v>
      </c>
      <c r="AJ122" s="28">
        <f t="shared" si="151"/>
        <v>46608</v>
      </c>
      <c r="AK122" s="38"/>
      <c r="AL122" s="39">
        <v>3</v>
      </c>
      <c r="AM122" s="40">
        <f t="shared" si="146"/>
        <v>186</v>
      </c>
      <c r="AN122" s="28">
        <f t="shared" si="135"/>
        <v>892.80000000000007</v>
      </c>
      <c r="AO122" s="28">
        <f t="shared" si="152"/>
        <v>1116</v>
      </c>
      <c r="AP122" s="28">
        <f t="shared" si="152"/>
        <v>1488</v>
      </c>
      <c r="AQ122" s="28">
        <f t="shared" si="152"/>
        <v>2976</v>
      </c>
      <c r="AS122" s="28">
        <f t="shared" si="136"/>
        <v>110.88000000000001</v>
      </c>
      <c r="AT122" s="28">
        <f t="shared" si="153"/>
        <v>138.6</v>
      </c>
      <c r="AU122" s="28">
        <f t="shared" si="153"/>
        <v>184.8</v>
      </c>
      <c r="AV122" s="28">
        <f t="shared" si="153"/>
        <v>369.6</v>
      </c>
      <c r="AX122" s="31">
        <f t="shared" si="137"/>
        <v>7200</v>
      </c>
      <c r="AY122" s="31">
        <f t="shared" si="154"/>
        <v>9000</v>
      </c>
      <c r="AZ122" s="31">
        <f t="shared" si="154"/>
        <v>12000</v>
      </c>
      <c r="BA122" s="31">
        <f t="shared" si="154"/>
        <v>24000</v>
      </c>
      <c r="BD122" s="55">
        <f t="shared" si="82"/>
        <v>62.1</v>
      </c>
      <c r="BE122" s="55">
        <f t="shared" si="83"/>
        <v>82.800000000000011</v>
      </c>
      <c r="BF122" s="55">
        <f t="shared" si="84"/>
        <v>165.60000000000002</v>
      </c>
      <c r="BI122" s="55">
        <f t="shared" si="85"/>
        <v>323.09999999999997</v>
      </c>
      <c r="BJ122" s="55">
        <f t="shared" si="86"/>
        <v>430.79999999999995</v>
      </c>
      <c r="BK122" s="55">
        <f t="shared" si="87"/>
        <v>861.59999999999991</v>
      </c>
      <c r="BN122" s="56">
        <f t="shared" si="88"/>
        <v>116118</v>
      </c>
      <c r="BO122" s="56">
        <f t="shared" si="89"/>
        <v>154824</v>
      </c>
      <c r="BP122" s="56">
        <f t="shared" si="90"/>
        <v>309648</v>
      </c>
      <c r="BR122" s="54"/>
    </row>
    <row r="123" spans="1:70" x14ac:dyDescent="0.2">
      <c r="A123" s="14">
        <v>52830</v>
      </c>
      <c r="B123" s="53" t="s">
        <v>179</v>
      </c>
      <c r="C123" s="17" t="s">
        <v>9</v>
      </c>
      <c r="D123" s="17" t="s">
        <v>5</v>
      </c>
      <c r="E123" s="18">
        <v>0.97</v>
      </c>
      <c r="F123" s="25">
        <v>1.93</v>
      </c>
      <c r="G123" s="17"/>
      <c r="H123" s="11">
        <v>30</v>
      </c>
      <c r="I123" s="17">
        <f t="shared" si="147"/>
        <v>2.61</v>
      </c>
      <c r="J123" s="22">
        <f t="shared" si="138"/>
        <v>3.13</v>
      </c>
      <c r="K123" s="22">
        <f t="shared" si="139"/>
        <v>3.8</v>
      </c>
      <c r="L123" s="22">
        <f t="shared" si="127"/>
        <v>5.22</v>
      </c>
      <c r="M123" s="22">
        <f t="shared" si="128"/>
        <v>6.5249999999999995</v>
      </c>
      <c r="N123" s="22">
        <f t="shared" si="129"/>
        <v>7.83</v>
      </c>
      <c r="O123" s="22">
        <f t="shared" si="130"/>
        <v>9.1349999999999998</v>
      </c>
      <c r="P123" s="30">
        <f t="shared" si="148"/>
        <v>15.66</v>
      </c>
      <c r="Q123" s="30">
        <f t="shared" si="140"/>
        <v>17.6175</v>
      </c>
      <c r="R123" s="30">
        <f t="shared" si="141"/>
        <v>18.596249999999998</v>
      </c>
      <c r="S123" s="30">
        <f t="shared" si="142"/>
        <v>18.269999999999996</v>
      </c>
      <c r="T123" s="30">
        <f t="shared" si="149"/>
        <v>19.574999999999999</v>
      </c>
      <c r="U123" s="30">
        <f t="shared" si="143"/>
        <v>26.099999999999998</v>
      </c>
      <c r="V123" s="30">
        <f t="shared" si="144"/>
        <v>52.199999999999996</v>
      </c>
      <c r="W123" s="22"/>
      <c r="X123" s="23">
        <f t="shared" si="131"/>
        <v>36540</v>
      </c>
      <c r="Y123" s="23"/>
      <c r="Z123" s="23">
        <f t="shared" si="132"/>
        <v>62640</v>
      </c>
      <c r="AA123" s="23">
        <f t="shared" si="150"/>
        <v>78300</v>
      </c>
      <c r="AB123" s="23">
        <f t="shared" si="150"/>
        <v>104399.99999999999</v>
      </c>
      <c r="AE123" s="36">
        <f t="shared" si="133"/>
        <v>3.21</v>
      </c>
      <c r="AF123" s="37">
        <f t="shared" si="145"/>
        <v>3116.91</v>
      </c>
      <c r="AG123" s="28">
        <f t="shared" si="134"/>
        <v>15205.86</v>
      </c>
      <c r="AH123" s="28">
        <f t="shared" si="151"/>
        <v>19007.325000000001</v>
      </c>
      <c r="AI123" s="28">
        <f t="shared" si="151"/>
        <v>25343.1</v>
      </c>
      <c r="AJ123" s="28">
        <f t="shared" si="151"/>
        <v>50686.2</v>
      </c>
      <c r="AK123" s="38"/>
      <c r="AL123" s="39">
        <v>3.21</v>
      </c>
      <c r="AM123" s="40">
        <f t="shared" si="146"/>
        <v>199.02</v>
      </c>
      <c r="AN123" s="28">
        <f t="shared" si="135"/>
        <v>970.92</v>
      </c>
      <c r="AO123" s="28">
        <f t="shared" si="152"/>
        <v>1213.6499999999999</v>
      </c>
      <c r="AP123" s="28">
        <f t="shared" si="152"/>
        <v>1618.1999999999998</v>
      </c>
      <c r="AQ123" s="28">
        <f t="shared" si="152"/>
        <v>3236.3999999999996</v>
      </c>
      <c r="AS123" s="28">
        <f t="shared" si="136"/>
        <v>120.58200000000001</v>
      </c>
      <c r="AT123" s="28">
        <f t="shared" si="153"/>
        <v>150.72749999999999</v>
      </c>
      <c r="AU123" s="28">
        <f t="shared" si="153"/>
        <v>200.97</v>
      </c>
      <c r="AV123" s="28">
        <f t="shared" si="153"/>
        <v>401.94</v>
      </c>
      <c r="AX123" s="31">
        <f t="shared" si="137"/>
        <v>7830</v>
      </c>
      <c r="AY123" s="31">
        <f t="shared" si="154"/>
        <v>9787.5</v>
      </c>
      <c r="AZ123" s="31">
        <f t="shared" si="154"/>
        <v>13049.999999999998</v>
      </c>
      <c r="BA123" s="31">
        <f t="shared" si="154"/>
        <v>26099.999999999996</v>
      </c>
      <c r="BD123" s="55">
        <f t="shared" si="82"/>
        <v>67.533749999999998</v>
      </c>
      <c r="BE123" s="55">
        <f t="shared" si="83"/>
        <v>90.045000000000002</v>
      </c>
      <c r="BF123" s="55">
        <f t="shared" si="84"/>
        <v>180.09</v>
      </c>
      <c r="BI123" s="55">
        <f t="shared" si="85"/>
        <v>351.37124999999997</v>
      </c>
      <c r="BJ123" s="55">
        <f t="shared" si="86"/>
        <v>468.49499999999995</v>
      </c>
      <c r="BK123" s="55">
        <f t="shared" si="87"/>
        <v>936.9899999999999</v>
      </c>
      <c r="BN123" s="56">
        <f t="shared" si="88"/>
        <v>126278.325</v>
      </c>
      <c r="BO123" s="56">
        <f t="shared" si="89"/>
        <v>168371.09999999998</v>
      </c>
      <c r="BP123" s="56">
        <f t="shared" si="90"/>
        <v>336742.19999999995</v>
      </c>
      <c r="BR123" s="54"/>
    </row>
    <row r="124" spans="1:70" x14ac:dyDescent="0.2">
      <c r="A124" s="14">
        <v>52892</v>
      </c>
      <c r="B124" s="57" t="s">
        <v>240</v>
      </c>
      <c r="C124" s="17"/>
      <c r="D124" s="59" t="s">
        <v>20</v>
      </c>
      <c r="E124" s="18"/>
      <c r="F124" s="25">
        <v>1.64</v>
      </c>
      <c r="G124" s="17"/>
      <c r="H124" s="11"/>
      <c r="I124" s="17">
        <f t="shared" si="147"/>
        <v>2.3199999999999998</v>
      </c>
      <c r="J124" s="22">
        <f t="shared" si="138"/>
        <v>2.84</v>
      </c>
      <c r="K124" s="22">
        <f t="shared" si="139"/>
        <v>3.51</v>
      </c>
      <c r="L124" s="22">
        <f t="shared" si="127"/>
        <v>4.6399999999999997</v>
      </c>
      <c r="M124" s="22">
        <f t="shared" si="128"/>
        <v>5.8</v>
      </c>
      <c r="N124" s="22">
        <f t="shared" si="129"/>
        <v>6.9599999999999991</v>
      </c>
      <c r="O124" s="22">
        <f t="shared" si="130"/>
        <v>8.1199999999999992</v>
      </c>
      <c r="P124" s="30">
        <f t="shared" si="148"/>
        <v>13.92</v>
      </c>
      <c r="Q124" s="30">
        <f t="shared" si="140"/>
        <v>15.659999999999998</v>
      </c>
      <c r="R124" s="30">
        <f t="shared" si="141"/>
        <v>16.529999999999998</v>
      </c>
      <c r="S124" s="30">
        <f t="shared" si="142"/>
        <v>16.239999999999998</v>
      </c>
      <c r="T124" s="30">
        <f t="shared" si="149"/>
        <v>17.399999999999999</v>
      </c>
      <c r="U124" s="30">
        <f t="shared" si="143"/>
        <v>23.2</v>
      </c>
      <c r="V124" s="30">
        <f t="shared" si="144"/>
        <v>46.4</v>
      </c>
      <c r="W124" s="22"/>
      <c r="X124" s="23">
        <f t="shared" si="131"/>
        <v>32479.999999999996</v>
      </c>
      <c r="Y124" s="23"/>
      <c r="Z124" s="23">
        <f t="shared" si="132"/>
        <v>55680</v>
      </c>
      <c r="AA124" s="23">
        <f t="shared" si="150"/>
        <v>69600</v>
      </c>
      <c r="AB124" s="23">
        <f t="shared" si="150"/>
        <v>92800</v>
      </c>
      <c r="AE124" s="36">
        <f t="shared" si="133"/>
        <v>2.92</v>
      </c>
      <c r="AF124" s="37">
        <f t="shared" si="145"/>
        <v>2835.3199999999997</v>
      </c>
      <c r="AG124" s="28">
        <f t="shared" si="134"/>
        <v>13516.32</v>
      </c>
      <c r="AH124" s="28">
        <f t="shared" si="151"/>
        <v>16895.399999999998</v>
      </c>
      <c r="AI124" s="28">
        <f t="shared" si="151"/>
        <v>22527.200000000001</v>
      </c>
      <c r="AJ124" s="28">
        <f t="shared" si="151"/>
        <v>45054.400000000001</v>
      </c>
      <c r="AK124" s="38"/>
      <c r="AL124" s="39"/>
      <c r="AM124" s="40"/>
      <c r="AN124" s="28">
        <f t="shared" si="135"/>
        <v>863.04</v>
      </c>
      <c r="AO124" s="28">
        <f t="shared" si="152"/>
        <v>1078.8</v>
      </c>
      <c r="AP124" s="28">
        <f t="shared" si="152"/>
        <v>1438.3999999999999</v>
      </c>
      <c r="AQ124" s="28">
        <f t="shared" si="152"/>
        <v>2876.7999999999997</v>
      </c>
      <c r="AS124" s="28">
        <f t="shared" si="136"/>
        <v>107.184</v>
      </c>
      <c r="AT124" s="28">
        <f t="shared" si="153"/>
        <v>133.97999999999999</v>
      </c>
      <c r="AU124" s="28">
        <f t="shared" si="153"/>
        <v>178.64</v>
      </c>
      <c r="AV124" s="28">
        <f t="shared" si="153"/>
        <v>357.28</v>
      </c>
      <c r="AX124" s="31">
        <f t="shared" si="137"/>
        <v>6960</v>
      </c>
      <c r="AY124" s="31">
        <f t="shared" si="154"/>
        <v>8700</v>
      </c>
      <c r="AZ124" s="31">
        <f t="shared" si="154"/>
        <v>11600</v>
      </c>
      <c r="BA124" s="31">
        <f t="shared" si="154"/>
        <v>23200</v>
      </c>
      <c r="BD124" s="55">
        <f t="shared" si="82"/>
        <v>60.03</v>
      </c>
      <c r="BE124" s="55">
        <f t="shared" si="83"/>
        <v>80.040000000000006</v>
      </c>
      <c r="BF124" s="55">
        <f t="shared" si="84"/>
        <v>160.08000000000001</v>
      </c>
      <c r="BI124" s="55">
        <f t="shared" si="85"/>
        <v>312.33</v>
      </c>
      <c r="BJ124" s="55">
        <f t="shared" si="86"/>
        <v>416.44</v>
      </c>
      <c r="BK124" s="55">
        <f t="shared" si="87"/>
        <v>832.88</v>
      </c>
      <c r="BN124" s="56">
        <f t="shared" si="88"/>
        <v>112247.4</v>
      </c>
      <c r="BO124" s="56">
        <f t="shared" si="89"/>
        <v>149663.19999999998</v>
      </c>
      <c r="BP124" s="56">
        <f t="shared" si="90"/>
        <v>299326.39999999997</v>
      </c>
      <c r="BR124" s="54"/>
    </row>
    <row r="125" spans="1:70" x14ac:dyDescent="0.2">
      <c r="A125" s="14">
        <v>52900</v>
      </c>
      <c r="B125" s="51" t="s">
        <v>173</v>
      </c>
      <c r="C125" s="17" t="s">
        <v>8</v>
      </c>
      <c r="D125" s="17" t="s">
        <v>5</v>
      </c>
      <c r="E125" s="18">
        <v>1.26</v>
      </c>
      <c r="F125" s="25">
        <v>1.8314285714285701</v>
      </c>
      <c r="G125" s="17"/>
      <c r="H125" s="17">
        <v>10</v>
      </c>
      <c r="I125" s="30">
        <f t="shared" si="147"/>
        <v>2.5114285714285702</v>
      </c>
      <c r="J125" s="22">
        <f t="shared" si="138"/>
        <v>3.0314285714285703</v>
      </c>
      <c r="K125" s="22">
        <f t="shared" si="139"/>
        <v>3.7014285714285702</v>
      </c>
      <c r="L125" s="22">
        <f t="shared" si="127"/>
        <v>5.0228571428571405</v>
      </c>
      <c r="M125" s="22">
        <f t="shared" si="128"/>
        <v>6.2785714285714258</v>
      </c>
      <c r="N125" s="22">
        <f t="shared" si="129"/>
        <v>7.5342857142857103</v>
      </c>
      <c r="O125" s="22">
        <f t="shared" si="130"/>
        <v>8.7899999999999956</v>
      </c>
      <c r="P125" s="30">
        <f t="shared" si="148"/>
        <v>15.068571428571424</v>
      </c>
      <c r="Q125" s="30">
        <f t="shared" si="140"/>
        <v>16.952142857142849</v>
      </c>
      <c r="R125" s="30">
        <f t="shared" si="141"/>
        <v>17.893928571428564</v>
      </c>
      <c r="S125" s="30">
        <f t="shared" si="142"/>
        <v>17.579999999999991</v>
      </c>
      <c r="T125" s="30">
        <f t="shared" si="149"/>
        <v>18.835714285714278</v>
      </c>
      <c r="U125" s="30">
        <f t="shared" si="143"/>
        <v>25.114285714285703</v>
      </c>
      <c r="V125" s="30">
        <f t="shared" si="144"/>
        <v>50.228571428571406</v>
      </c>
      <c r="W125" s="22"/>
      <c r="X125" s="23">
        <f t="shared" si="131"/>
        <v>35159.999999999985</v>
      </c>
      <c r="Y125" s="23"/>
      <c r="Z125" s="23">
        <f t="shared" si="132"/>
        <v>60274.285714285696</v>
      </c>
      <c r="AA125" s="23">
        <f t="shared" si="150"/>
        <v>75342.857142857116</v>
      </c>
      <c r="AB125" s="23">
        <f t="shared" si="150"/>
        <v>100457.14285714281</v>
      </c>
      <c r="AE125" s="36">
        <f t="shared" si="133"/>
        <v>3.1114285714285703</v>
      </c>
      <c r="AF125" s="37">
        <f t="shared" si="145"/>
        <v>3021.1971428571419</v>
      </c>
      <c r="AG125" s="28">
        <f t="shared" si="134"/>
        <v>14631.582857142852</v>
      </c>
      <c r="AH125" s="28">
        <f t="shared" si="151"/>
        <v>18289.478571428564</v>
      </c>
      <c r="AI125" s="28">
        <f t="shared" si="151"/>
        <v>24385.971428571418</v>
      </c>
      <c r="AJ125" s="28">
        <f t="shared" si="151"/>
        <v>48771.942857142836</v>
      </c>
      <c r="AK125" s="38"/>
      <c r="AL125" s="39">
        <v>3.1114285714285703</v>
      </c>
      <c r="AM125" s="40">
        <f t="shared" si="146"/>
        <v>192.90857142857135</v>
      </c>
      <c r="AN125" s="28">
        <f t="shared" si="135"/>
        <v>934.25142857142828</v>
      </c>
      <c r="AO125" s="28">
        <f t="shared" si="152"/>
        <v>1167.8142857142852</v>
      </c>
      <c r="AP125" s="28">
        <f t="shared" si="152"/>
        <v>1557.0857142857135</v>
      </c>
      <c r="AQ125" s="28">
        <f t="shared" si="152"/>
        <v>3114.171428571427</v>
      </c>
      <c r="AS125" s="28">
        <f t="shared" si="136"/>
        <v>116.02799999999996</v>
      </c>
      <c r="AT125" s="28">
        <f t="shared" si="153"/>
        <v>145.03499999999994</v>
      </c>
      <c r="AU125" s="28">
        <f t="shared" si="153"/>
        <v>193.37999999999991</v>
      </c>
      <c r="AV125" s="28">
        <f t="shared" si="153"/>
        <v>386.75999999999982</v>
      </c>
      <c r="AX125" s="31">
        <f t="shared" si="137"/>
        <v>7534.2857142857119</v>
      </c>
      <c r="AY125" s="31">
        <f t="shared" si="154"/>
        <v>9417.8571428571395</v>
      </c>
      <c r="AZ125" s="31">
        <f t="shared" si="154"/>
        <v>12557.142857142851</v>
      </c>
      <c r="BA125" s="31">
        <f t="shared" si="154"/>
        <v>25114.285714285703</v>
      </c>
      <c r="BD125" s="55">
        <f t="shared" si="82"/>
        <v>64.983214285714268</v>
      </c>
      <c r="BE125" s="55">
        <f t="shared" si="83"/>
        <v>86.644285714285687</v>
      </c>
      <c r="BF125" s="55">
        <f t="shared" si="84"/>
        <v>173.28857142857137</v>
      </c>
      <c r="BI125" s="55">
        <f t="shared" si="85"/>
        <v>338.10107142857129</v>
      </c>
      <c r="BJ125" s="55">
        <f t="shared" si="86"/>
        <v>450.80142857142835</v>
      </c>
      <c r="BK125" s="55">
        <f t="shared" si="87"/>
        <v>901.60285714285669</v>
      </c>
      <c r="BN125" s="56">
        <f t="shared" si="88"/>
        <v>121509.19285714281</v>
      </c>
      <c r="BO125" s="56">
        <f t="shared" si="89"/>
        <v>162012.25714285707</v>
      </c>
      <c r="BP125" s="56">
        <f t="shared" si="90"/>
        <v>324024.51428571413</v>
      </c>
      <c r="BR125" s="54"/>
    </row>
    <row r="126" spans="1:70" x14ac:dyDescent="0.2">
      <c r="A126" s="14">
        <v>52925</v>
      </c>
      <c r="B126" s="51" t="s">
        <v>174</v>
      </c>
      <c r="C126" s="17" t="s">
        <v>17</v>
      </c>
      <c r="D126" s="17" t="s">
        <v>5</v>
      </c>
      <c r="E126" s="18">
        <v>1.3</v>
      </c>
      <c r="F126" s="25">
        <v>2.0142857142857098</v>
      </c>
      <c r="G126" s="17"/>
      <c r="H126" s="17">
        <v>10</v>
      </c>
      <c r="I126" s="30">
        <f t="shared" si="147"/>
        <v>2.69428571428571</v>
      </c>
      <c r="J126" s="22">
        <f t="shared" si="138"/>
        <v>3.21428571428571</v>
      </c>
      <c r="K126" s="22">
        <f t="shared" si="139"/>
        <v>3.8842857142857099</v>
      </c>
      <c r="L126" s="22">
        <f t="shared" si="127"/>
        <v>5.3885714285714199</v>
      </c>
      <c r="M126" s="22">
        <f t="shared" si="128"/>
        <v>6.7357142857142751</v>
      </c>
      <c r="N126" s="22">
        <f t="shared" si="129"/>
        <v>8.0828571428571294</v>
      </c>
      <c r="O126" s="22">
        <f t="shared" si="130"/>
        <v>9.4299999999999855</v>
      </c>
      <c r="P126" s="30">
        <f t="shared" si="148"/>
        <v>16.165714285714262</v>
      </c>
      <c r="Q126" s="30">
        <f t="shared" si="140"/>
        <v>18.186428571428547</v>
      </c>
      <c r="R126" s="30">
        <f t="shared" si="141"/>
        <v>19.196785714285685</v>
      </c>
      <c r="S126" s="30">
        <f t="shared" si="142"/>
        <v>18.859999999999967</v>
      </c>
      <c r="T126" s="30">
        <f t="shared" si="149"/>
        <v>20.207142857142827</v>
      </c>
      <c r="U126" s="30">
        <f t="shared" si="143"/>
        <v>26.9428571428571</v>
      </c>
      <c r="V126" s="30">
        <f t="shared" si="144"/>
        <v>53.885714285714201</v>
      </c>
      <c r="W126" s="22"/>
      <c r="X126" s="23">
        <f t="shared" si="131"/>
        <v>37719.999999999942</v>
      </c>
      <c r="Y126" s="23"/>
      <c r="Z126" s="23">
        <f t="shared" si="132"/>
        <v>64662.85714285705</v>
      </c>
      <c r="AA126" s="23">
        <f t="shared" si="150"/>
        <v>80828.571428571304</v>
      </c>
      <c r="AB126" s="23">
        <f t="shared" si="150"/>
        <v>107771.42857142841</v>
      </c>
      <c r="AE126" s="36">
        <f t="shared" si="133"/>
        <v>3.29428571428571</v>
      </c>
      <c r="AF126" s="37">
        <f t="shared" si="145"/>
        <v>3198.7514285714246</v>
      </c>
      <c r="AG126" s="28">
        <f t="shared" si="134"/>
        <v>15696.908571428548</v>
      </c>
      <c r="AH126" s="28">
        <f t="shared" si="151"/>
        <v>19621.135714285687</v>
      </c>
      <c r="AI126" s="28">
        <f t="shared" si="151"/>
        <v>26161.514285714245</v>
      </c>
      <c r="AJ126" s="28">
        <f t="shared" si="151"/>
        <v>52323.028571428491</v>
      </c>
      <c r="AK126" s="38"/>
      <c r="AL126" s="39">
        <v>3.29428571428571</v>
      </c>
      <c r="AM126" s="40">
        <f t="shared" si="146"/>
        <v>204.24571428571403</v>
      </c>
      <c r="AN126" s="28">
        <f t="shared" si="135"/>
        <v>1002.2742857142842</v>
      </c>
      <c r="AO126" s="28">
        <f t="shared" si="152"/>
        <v>1252.8428571428553</v>
      </c>
      <c r="AP126" s="28">
        <f t="shared" si="152"/>
        <v>1670.4571428571403</v>
      </c>
      <c r="AQ126" s="28">
        <f t="shared" si="152"/>
        <v>3340.9142857142806</v>
      </c>
      <c r="AS126" s="28">
        <f t="shared" si="136"/>
        <v>124.47599999999983</v>
      </c>
      <c r="AT126" s="28">
        <f t="shared" si="153"/>
        <v>155.59499999999977</v>
      </c>
      <c r="AU126" s="28">
        <f t="shared" si="153"/>
        <v>207.45999999999967</v>
      </c>
      <c r="AV126" s="28">
        <f t="shared" si="153"/>
        <v>414.91999999999933</v>
      </c>
      <c r="AX126" s="31">
        <f t="shared" si="137"/>
        <v>8082.8571428571313</v>
      </c>
      <c r="AY126" s="31">
        <f t="shared" si="154"/>
        <v>10103.571428571413</v>
      </c>
      <c r="AZ126" s="31">
        <f t="shared" si="154"/>
        <v>13471.428571428551</v>
      </c>
      <c r="BA126" s="31">
        <f t="shared" si="154"/>
        <v>26942.857142857101</v>
      </c>
      <c r="BD126" s="55">
        <f t="shared" si="82"/>
        <v>69.714642857142763</v>
      </c>
      <c r="BE126" s="55">
        <f t="shared" si="83"/>
        <v>92.952857142856999</v>
      </c>
      <c r="BF126" s="55">
        <f t="shared" si="84"/>
        <v>185.905714285714</v>
      </c>
      <c r="BI126" s="55">
        <f t="shared" si="85"/>
        <v>362.71821428571371</v>
      </c>
      <c r="BJ126" s="55">
        <f t="shared" si="86"/>
        <v>483.62428571428495</v>
      </c>
      <c r="BK126" s="55">
        <f t="shared" si="87"/>
        <v>967.2485714285699</v>
      </c>
      <c r="BN126" s="56">
        <f t="shared" si="88"/>
        <v>130356.27857142838</v>
      </c>
      <c r="BO126" s="56">
        <f t="shared" si="89"/>
        <v>173808.37142857115</v>
      </c>
      <c r="BP126" s="56">
        <f t="shared" si="90"/>
        <v>347616.74285714229</v>
      </c>
      <c r="BR126" s="54"/>
    </row>
    <row r="127" spans="1:70" x14ac:dyDescent="0.2">
      <c r="A127" s="6">
        <v>52986</v>
      </c>
      <c r="B127" s="51" t="s">
        <v>180</v>
      </c>
      <c r="C127" s="17" t="s">
        <v>11</v>
      </c>
      <c r="D127" s="17" t="s">
        <v>5</v>
      </c>
      <c r="E127" s="26">
        <v>0.45</v>
      </c>
      <c r="F127" s="25">
        <v>0.45</v>
      </c>
      <c r="G127" s="17"/>
      <c r="H127" s="17">
        <v>10</v>
      </c>
      <c r="I127" s="30">
        <f t="shared" si="147"/>
        <v>1.1300000000000001</v>
      </c>
      <c r="J127" s="22">
        <f t="shared" si="138"/>
        <v>1.65</v>
      </c>
      <c r="K127" s="22">
        <f t="shared" si="139"/>
        <v>2.3200000000000003</v>
      </c>
      <c r="L127" s="22">
        <f t="shared" si="127"/>
        <v>2.2600000000000002</v>
      </c>
      <c r="M127" s="22">
        <f t="shared" si="128"/>
        <v>2.8250000000000002</v>
      </c>
      <c r="N127" s="22">
        <f t="shared" si="129"/>
        <v>3.3900000000000006</v>
      </c>
      <c r="O127" s="22">
        <f t="shared" si="130"/>
        <v>3.9550000000000005</v>
      </c>
      <c r="P127" s="30">
        <f t="shared" si="148"/>
        <v>6.7800000000000011</v>
      </c>
      <c r="Q127" s="30">
        <f t="shared" si="140"/>
        <v>7.6275000000000013</v>
      </c>
      <c r="R127" s="30">
        <f t="shared" si="141"/>
        <v>8.0512500000000014</v>
      </c>
      <c r="S127" s="30">
        <f t="shared" si="142"/>
        <v>7.91</v>
      </c>
      <c r="T127" s="30">
        <f t="shared" si="149"/>
        <v>8.4750000000000014</v>
      </c>
      <c r="U127" s="30">
        <f t="shared" si="143"/>
        <v>11.3</v>
      </c>
      <c r="V127" s="30">
        <f t="shared" si="144"/>
        <v>22.6</v>
      </c>
      <c r="W127" s="22"/>
      <c r="X127" s="23">
        <f t="shared" si="131"/>
        <v>15820.000000000002</v>
      </c>
      <c r="Y127" s="23"/>
      <c r="Z127" s="23">
        <f t="shared" si="132"/>
        <v>27120.000000000004</v>
      </c>
      <c r="AA127" s="23">
        <f t="shared" si="150"/>
        <v>33900.000000000007</v>
      </c>
      <c r="AB127" s="23">
        <f t="shared" si="150"/>
        <v>45200</v>
      </c>
      <c r="AE127" s="36">
        <f t="shared" si="133"/>
        <v>1.73</v>
      </c>
      <c r="AF127" s="37">
        <f t="shared" si="145"/>
        <v>1679.83</v>
      </c>
      <c r="AG127" s="28">
        <f t="shared" si="134"/>
        <v>6583.380000000001</v>
      </c>
      <c r="AH127" s="28">
        <f t="shared" si="151"/>
        <v>8229.2250000000022</v>
      </c>
      <c r="AI127" s="28">
        <f t="shared" si="151"/>
        <v>10972.300000000001</v>
      </c>
      <c r="AJ127" s="28">
        <f t="shared" si="151"/>
        <v>21944.600000000002</v>
      </c>
      <c r="AK127" s="38"/>
      <c r="AL127" s="39">
        <v>1.73</v>
      </c>
      <c r="AM127" s="40">
        <f t="shared" si="146"/>
        <v>107.26</v>
      </c>
      <c r="AN127" s="28">
        <f t="shared" si="135"/>
        <v>420.36000000000007</v>
      </c>
      <c r="AO127" s="28">
        <f t="shared" si="152"/>
        <v>525.45000000000005</v>
      </c>
      <c r="AP127" s="28">
        <f t="shared" si="152"/>
        <v>700.6</v>
      </c>
      <c r="AQ127" s="28">
        <f t="shared" si="152"/>
        <v>1401.2</v>
      </c>
      <c r="AS127" s="28">
        <f t="shared" si="136"/>
        <v>52.20600000000001</v>
      </c>
      <c r="AT127" s="28">
        <f t="shared" si="153"/>
        <v>65.257500000000007</v>
      </c>
      <c r="AU127" s="28">
        <f t="shared" si="153"/>
        <v>87.01</v>
      </c>
      <c r="AV127" s="28">
        <f t="shared" si="153"/>
        <v>174.02</v>
      </c>
      <c r="AX127" s="31">
        <f t="shared" si="137"/>
        <v>3390.0000000000005</v>
      </c>
      <c r="AY127" s="31">
        <f t="shared" si="154"/>
        <v>4237.5000000000009</v>
      </c>
      <c r="AZ127" s="31">
        <f t="shared" si="154"/>
        <v>5650</v>
      </c>
      <c r="BA127" s="31">
        <f t="shared" si="154"/>
        <v>11300</v>
      </c>
      <c r="BD127" s="55">
        <f t="shared" si="82"/>
        <v>29.238750000000007</v>
      </c>
      <c r="BE127" s="55">
        <f t="shared" si="83"/>
        <v>38.985000000000007</v>
      </c>
      <c r="BF127" s="55">
        <f t="shared" si="84"/>
        <v>77.970000000000013</v>
      </c>
      <c r="BI127" s="55">
        <f t="shared" si="85"/>
        <v>152.12625000000003</v>
      </c>
      <c r="BJ127" s="55">
        <f t="shared" si="86"/>
        <v>202.83500000000001</v>
      </c>
      <c r="BK127" s="55">
        <f t="shared" si="87"/>
        <v>405.67</v>
      </c>
      <c r="BN127" s="56">
        <f t="shared" si="88"/>
        <v>54672.225000000006</v>
      </c>
      <c r="BO127" s="56">
        <f t="shared" si="89"/>
        <v>72896.3</v>
      </c>
      <c r="BP127" s="56">
        <f t="shared" si="90"/>
        <v>145792.6</v>
      </c>
      <c r="BR127" s="54"/>
    </row>
    <row r="128" spans="1:70" x14ac:dyDescent="0.2">
      <c r="A128" s="14">
        <v>53100</v>
      </c>
      <c r="B128" s="51" t="s">
        <v>181</v>
      </c>
      <c r="C128" s="17" t="s">
        <v>11</v>
      </c>
      <c r="D128" s="17" t="s">
        <v>5</v>
      </c>
      <c r="E128" s="12">
        <v>0.45</v>
      </c>
      <c r="F128" s="25">
        <v>0.88571428571428601</v>
      </c>
      <c r="G128" s="17"/>
      <c r="H128" s="17">
        <v>10</v>
      </c>
      <c r="I128" s="30">
        <f t="shared" si="147"/>
        <v>1.5657142857142861</v>
      </c>
      <c r="J128" s="22">
        <f t="shared" si="138"/>
        <v>2.0857142857142859</v>
      </c>
      <c r="K128" s="22">
        <f t="shared" si="139"/>
        <v>2.7557142857142862</v>
      </c>
      <c r="L128" s="22">
        <f t="shared" si="127"/>
        <v>3.1314285714285721</v>
      </c>
      <c r="M128" s="22">
        <f t="shared" si="128"/>
        <v>3.914285714285715</v>
      </c>
      <c r="N128" s="22">
        <f t="shared" si="129"/>
        <v>4.6971428571428584</v>
      </c>
      <c r="O128" s="22">
        <f t="shared" si="130"/>
        <v>5.4800000000000013</v>
      </c>
      <c r="P128" s="30">
        <f t="shared" si="148"/>
        <v>9.3942857142857168</v>
      </c>
      <c r="Q128" s="30">
        <f t="shared" si="140"/>
        <v>10.568571428571431</v>
      </c>
      <c r="R128" s="30">
        <f t="shared" si="141"/>
        <v>11.155714285714287</v>
      </c>
      <c r="S128" s="30">
        <f t="shared" si="142"/>
        <v>10.96</v>
      </c>
      <c r="T128" s="30">
        <f t="shared" si="149"/>
        <v>11.742857142857146</v>
      </c>
      <c r="U128" s="30">
        <f t="shared" si="143"/>
        <v>15.65714285714286</v>
      </c>
      <c r="V128" s="30">
        <f t="shared" si="144"/>
        <v>31.31428571428572</v>
      </c>
      <c r="W128" s="22"/>
      <c r="X128" s="23">
        <f t="shared" si="131"/>
        <v>21920.000000000004</v>
      </c>
      <c r="Y128" s="23"/>
      <c r="Z128" s="23">
        <f t="shared" si="132"/>
        <v>37577.14285714287</v>
      </c>
      <c r="AA128" s="23">
        <f t="shared" si="150"/>
        <v>46971.42857142858</v>
      </c>
      <c r="AB128" s="23">
        <f t="shared" si="150"/>
        <v>62628.571428571442</v>
      </c>
      <c r="AE128" s="36">
        <f t="shared" si="133"/>
        <v>2.1657142857142859</v>
      </c>
      <c r="AF128" s="37">
        <f t="shared" si="145"/>
        <v>2102.9085714285716</v>
      </c>
      <c r="AG128" s="28">
        <f t="shared" si="134"/>
        <v>9121.8514285714318</v>
      </c>
      <c r="AH128" s="28">
        <f t="shared" si="151"/>
        <v>11402.314285714288</v>
      </c>
      <c r="AI128" s="28">
        <f t="shared" si="151"/>
        <v>15203.085714285717</v>
      </c>
      <c r="AJ128" s="28">
        <f t="shared" si="151"/>
        <v>30406.171428571433</v>
      </c>
      <c r="AK128" s="38"/>
      <c r="AL128" s="39">
        <v>2.1657142857142859</v>
      </c>
      <c r="AM128" s="40">
        <f t="shared" si="146"/>
        <v>134.27428571428572</v>
      </c>
      <c r="AN128" s="28">
        <f t="shared" si="135"/>
        <v>582.44571428571442</v>
      </c>
      <c r="AO128" s="28">
        <f t="shared" si="152"/>
        <v>728.05714285714305</v>
      </c>
      <c r="AP128" s="28">
        <f t="shared" si="152"/>
        <v>970.74285714285736</v>
      </c>
      <c r="AQ128" s="28">
        <f t="shared" si="152"/>
        <v>1941.4857142857147</v>
      </c>
      <c r="AS128" s="28">
        <f t="shared" si="136"/>
        <v>72.336000000000027</v>
      </c>
      <c r="AT128" s="28">
        <f t="shared" si="153"/>
        <v>90.420000000000016</v>
      </c>
      <c r="AU128" s="28">
        <f t="shared" si="153"/>
        <v>120.56000000000003</v>
      </c>
      <c r="AV128" s="28">
        <f t="shared" si="153"/>
        <v>241.12000000000006</v>
      </c>
      <c r="AX128" s="31">
        <f t="shared" si="137"/>
        <v>4697.1428571428587</v>
      </c>
      <c r="AY128" s="31">
        <f t="shared" si="154"/>
        <v>5871.4285714285725</v>
      </c>
      <c r="AZ128" s="31">
        <f t="shared" si="154"/>
        <v>7828.5714285714303</v>
      </c>
      <c r="BA128" s="31">
        <f t="shared" si="154"/>
        <v>15657.142857142861</v>
      </c>
      <c r="BD128" s="55">
        <f t="shared" si="82"/>
        <v>40.512857142857158</v>
      </c>
      <c r="BE128" s="55">
        <f t="shared" si="83"/>
        <v>54.017142857142872</v>
      </c>
      <c r="BF128" s="55">
        <f t="shared" si="84"/>
        <v>108.03428571428574</v>
      </c>
      <c r="BI128" s="55">
        <f t="shared" si="85"/>
        <v>210.78428571428574</v>
      </c>
      <c r="BJ128" s="55">
        <f t="shared" si="86"/>
        <v>281.04571428571433</v>
      </c>
      <c r="BK128" s="55">
        <f t="shared" si="87"/>
        <v>562.09142857142865</v>
      </c>
      <c r="BN128" s="56">
        <f t="shared" si="88"/>
        <v>75753.171428571441</v>
      </c>
      <c r="BO128" s="56">
        <f t="shared" si="89"/>
        <v>101004.2285714286</v>
      </c>
      <c r="BP128" s="56">
        <f t="shared" si="90"/>
        <v>202008.45714285719</v>
      </c>
      <c r="BR128" s="54"/>
    </row>
    <row r="129" spans="1:70" x14ac:dyDescent="0.2">
      <c r="A129" s="14">
        <v>53115</v>
      </c>
      <c r="B129" s="51" t="s">
        <v>182</v>
      </c>
      <c r="C129" s="17" t="s">
        <v>11</v>
      </c>
      <c r="D129" s="17" t="s">
        <v>20</v>
      </c>
      <c r="E129" s="12">
        <v>0.97</v>
      </c>
      <c r="F129" s="25">
        <v>0.871428571428571</v>
      </c>
      <c r="G129" s="17"/>
      <c r="H129" s="17">
        <v>10</v>
      </c>
      <c r="I129" s="30">
        <f t="shared" si="147"/>
        <v>1.5514285714285712</v>
      </c>
      <c r="J129" s="22">
        <f t="shared" si="138"/>
        <v>2.0714285714285712</v>
      </c>
      <c r="K129" s="22">
        <f t="shared" si="139"/>
        <v>2.7414285714285711</v>
      </c>
      <c r="L129" s="22">
        <f t="shared" si="127"/>
        <v>3.1028571428571423</v>
      </c>
      <c r="M129" s="22">
        <f t="shared" si="128"/>
        <v>3.8785714285714281</v>
      </c>
      <c r="N129" s="22">
        <f t="shared" si="129"/>
        <v>4.654285714285713</v>
      </c>
      <c r="O129" s="22">
        <f t="shared" si="130"/>
        <v>5.4299999999999988</v>
      </c>
      <c r="P129" s="30">
        <f t="shared" si="148"/>
        <v>9.3085714285714278</v>
      </c>
      <c r="Q129" s="30">
        <f t="shared" si="140"/>
        <v>10.472142857142856</v>
      </c>
      <c r="R129" s="30">
        <f t="shared" si="141"/>
        <v>11.053928571428569</v>
      </c>
      <c r="S129" s="30">
        <f t="shared" si="142"/>
        <v>10.859999999999998</v>
      </c>
      <c r="T129" s="30">
        <f t="shared" si="149"/>
        <v>11.635714285714284</v>
      </c>
      <c r="U129" s="30">
        <f t="shared" si="143"/>
        <v>15.514285714285712</v>
      </c>
      <c r="V129" s="30">
        <f t="shared" si="144"/>
        <v>31.028571428571425</v>
      </c>
      <c r="W129" s="22"/>
      <c r="X129" s="23">
        <f t="shared" si="131"/>
        <v>21719.999999999996</v>
      </c>
      <c r="Y129" s="23"/>
      <c r="Z129" s="23">
        <f t="shared" si="132"/>
        <v>37234.28571428571</v>
      </c>
      <c r="AA129" s="23">
        <f t="shared" si="150"/>
        <v>46542.857142857138</v>
      </c>
      <c r="AB129" s="23">
        <f t="shared" si="150"/>
        <v>62057.142857142848</v>
      </c>
      <c r="AE129" s="36">
        <f t="shared" si="133"/>
        <v>2.1514285714285712</v>
      </c>
      <c r="AF129" s="37">
        <f t="shared" si="145"/>
        <v>2089.0371428571425</v>
      </c>
      <c r="AG129" s="28">
        <f t="shared" si="134"/>
        <v>9038.6228571428564</v>
      </c>
      <c r="AH129" s="28">
        <f t="shared" si="151"/>
        <v>11298.278571428569</v>
      </c>
      <c r="AI129" s="28">
        <f t="shared" si="151"/>
        <v>15064.371428571427</v>
      </c>
      <c r="AJ129" s="28">
        <f t="shared" si="151"/>
        <v>30128.742857142854</v>
      </c>
      <c r="AK129" s="38"/>
      <c r="AL129" s="39">
        <v>2.1514285714285712</v>
      </c>
      <c r="AM129" s="40">
        <f t="shared" si="146"/>
        <v>133.38857142857142</v>
      </c>
      <c r="AN129" s="28">
        <f t="shared" si="135"/>
        <v>577.1314285714285</v>
      </c>
      <c r="AO129" s="28">
        <f t="shared" si="152"/>
        <v>721.4142857142856</v>
      </c>
      <c r="AP129" s="28">
        <f t="shared" si="152"/>
        <v>961.88571428571413</v>
      </c>
      <c r="AQ129" s="28">
        <f t="shared" si="152"/>
        <v>1923.7714285714283</v>
      </c>
      <c r="AS129" s="28">
        <f t="shared" si="136"/>
        <v>71.676000000000002</v>
      </c>
      <c r="AT129" s="28">
        <f t="shared" si="153"/>
        <v>89.594999999999985</v>
      </c>
      <c r="AU129" s="28">
        <f t="shared" si="153"/>
        <v>119.46</v>
      </c>
      <c r="AV129" s="28">
        <f t="shared" si="153"/>
        <v>238.92</v>
      </c>
      <c r="AX129" s="31">
        <f t="shared" si="137"/>
        <v>4654.2857142857138</v>
      </c>
      <c r="AY129" s="31">
        <f t="shared" si="154"/>
        <v>5817.8571428571422</v>
      </c>
      <c r="AZ129" s="31">
        <f t="shared" si="154"/>
        <v>7757.142857142856</v>
      </c>
      <c r="BA129" s="31">
        <f t="shared" si="154"/>
        <v>15514.285714285712</v>
      </c>
      <c r="BD129" s="55">
        <f t="shared" si="82"/>
        <v>40.143214285714286</v>
      </c>
      <c r="BE129" s="55">
        <f t="shared" si="83"/>
        <v>53.52428571428571</v>
      </c>
      <c r="BF129" s="55">
        <f t="shared" si="84"/>
        <v>107.04857142857142</v>
      </c>
      <c r="BI129" s="55">
        <f t="shared" si="85"/>
        <v>208.86107142857139</v>
      </c>
      <c r="BJ129" s="55">
        <f t="shared" si="86"/>
        <v>278.48142857142852</v>
      </c>
      <c r="BK129" s="55">
        <f t="shared" si="87"/>
        <v>556.96285714285705</v>
      </c>
      <c r="BN129" s="56">
        <f t="shared" si="88"/>
        <v>75061.992857142846</v>
      </c>
      <c r="BO129" s="56">
        <f t="shared" si="89"/>
        <v>100082.65714285713</v>
      </c>
      <c r="BP129" s="56">
        <f t="shared" si="90"/>
        <v>200165.31428571427</v>
      </c>
      <c r="BR129" s="54"/>
    </row>
    <row r="130" spans="1:70" x14ac:dyDescent="0.2">
      <c r="A130" s="14">
        <v>53117</v>
      </c>
      <c r="B130" s="51" t="s">
        <v>183</v>
      </c>
      <c r="C130" s="17" t="s">
        <v>4</v>
      </c>
      <c r="D130" s="17" t="s">
        <v>5</v>
      </c>
      <c r="E130" s="12">
        <v>0.56999999999999995</v>
      </c>
      <c r="F130" s="25">
        <v>0.8</v>
      </c>
      <c r="G130" s="17"/>
      <c r="H130" s="17">
        <v>20</v>
      </c>
      <c r="I130" s="30">
        <f t="shared" si="147"/>
        <v>1.48</v>
      </c>
      <c r="J130" s="22">
        <f t="shared" si="138"/>
        <v>2</v>
      </c>
      <c r="K130" s="22">
        <f t="shared" si="139"/>
        <v>2.67</v>
      </c>
      <c r="L130" s="22">
        <f t="shared" si="127"/>
        <v>2.96</v>
      </c>
      <c r="M130" s="22">
        <f t="shared" si="128"/>
        <v>3.7</v>
      </c>
      <c r="N130" s="22">
        <f t="shared" si="129"/>
        <v>4.4399999999999995</v>
      </c>
      <c r="O130" s="22">
        <f t="shared" si="130"/>
        <v>5.18</v>
      </c>
      <c r="P130" s="30">
        <f t="shared" si="148"/>
        <v>8.8800000000000008</v>
      </c>
      <c r="Q130" s="30">
        <f t="shared" si="140"/>
        <v>9.990000000000002</v>
      </c>
      <c r="R130" s="30">
        <f t="shared" si="141"/>
        <v>10.545000000000002</v>
      </c>
      <c r="S130" s="30">
        <f t="shared" si="142"/>
        <v>10.36</v>
      </c>
      <c r="T130" s="30">
        <f t="shared" si="149"/>
        <v>11.100000000000001</v>
      </c>
      <c r="U130" s="30">
        <f t="shared" si="143"/>
        <v>14.8</v>
      </c>
      <c r="V130" s="30">
        <f t="shared" si="144"/>
        <v>29.6</v>
      </c>
      <c r="W130" s="22"/>
      <c r="X130" s="23">
        <f t="shared" si="131"/>
        <v>20720</v>
      </c>
      <c r="Y130" s="23"/>
      <c r="Z130" s="23">
        <f t="shared" si="132"/>
        <v>35520</v>
      </c>
      <c r="AA130" s="23">
        <f t="shared" si="150"/>
        <v>44400.000000000007</v>
      </c>
      <c r="AB130" s="23">
        <f t="shared" si="150"/>
        <v>59200</v>
      </c>
      <c r="AE130" s="36">
        <f t="shared" si="133"/>
        <v>2.08</v>
      </c>
      <c r="AF130" s="37">
        <f t="shared" si="145"/>
        <v>2019.68</v>
      </c>
      <c r="AG130" s="28">
        <f t="shared" si="134"/>
        <v>8622.4800000000014</v>
      </c>
      <c r="AH130" s="28">
        <f t="shared" si="151"/>
        <v>10778.100000000002</v>
      </c>
      <c r="AI130" s="28">
        <f t="shared" si="151"/>
        <v>14370.800000000001</v>
      </c>
      <c r="AJ130" s="28">
        <f t="shared" si="151"/>
        <v>28741.600000000002</v>
      </c>
      <c r="AK130" s="38"/>
      <c r="AL130" s="39">
        <v>2.08</v>
      </c>
      <c r="AM130" s="40">
        <f t="shared" si="146"/>
        <v>128.96</v>
      </c>
      <c r="AN130" s="28">
        <f t="shared" si="135"/>
        <v>550.56000000000006</v>
      </c>
      <c r="AO130" s="28">
        <f t="shared" si="152"/>
        <v>688.2</v>
      </c>
      <c r="AP130" s="28">
        <f t="shared" si="152"/>
        <v>917.6</v>
      </c>
      <c r="AQ130" s="28">
        <f t="shared" si="152"/>
        <v>1835.2</v>
      </c>
      <c r="AS130" s="28">
        <f t="shared" si="136"/>
        <v>68.376000000000005</v>
      </c>
      <c r="AT130" s="28">
        <f t="shared" si="153"/>
        <v>85.470000000000013</v>
      </c>
      <c r="AU130" s="28">
        <f t="shared" si="153"/>
        <v>113.96000000000001</v>
      </c>
      <c r="AV130" s="28">
        <f t="shared" si="153"/>
        <v>227.92000000000002</v>
      </c>
      <c r="AX130" s="31">
        <f t="shared" si="137"/>
        <v>4440</v>
      </c>
      <c r="AY130" s="31">
        <f t="shared" si="154"/>
        <v>5550.0000000000009</v>
      </c>
      <c r="AZ130" s="31">
        <f t="shared" si="154"/>
        <v>7400</v>
      </c>
      <c r="BA130" s="31">
        <f t="shared" si="154"/>
        <v>14800</v>
      </c>
      <c r="BD130" s="55">
        <f t="shared" si="82"/>
        <v>38.295000000000009</v>
      </c>
      <c r="BE130" s="55">
        <f t="shared" si="83"/>
        <v>51.06</v>
      </c>
      <c r="BF130" s="55">
        <f t="shared" si="84"/>
        <v>102.12</v>
      </c>
      <c r="BI130" s="55">
        <f t="shared" si="85"/>
        <v>199.245</v>
      </c>
      <c r="BJ130" s="55">
        <f t="shared" si="86"/>
        <v>265.66000000000003</v>
      </c>
      <c r="BK130" s="55">
        <f t="shared" si="87"/>
        <v>531.32000000000005</v>
      </c>
      <c r="BN130" s="56">
        <f t="shared" si="88"/>
        <v>71606.100000000006</v>
      </c>
      <c r="BO130" s="56">
        <f t="shared" si="89"/>
        <v>95474.8</v>
      </c>
      <c r="BP130" s="56">
        <f t="shared" si="90"/>
        <v>190949.6</v>
      </c>
      <c r="BR130" s="54"/>
    </row>
    <row r="131" spans="1:70" x14ac:dyDescent="0.2">
      <c r="A131" s="14">
        <v>53187</v>
      </c>
      <c r="B131" s="51" t="s">
        <v>195</v>
      </c>
      <c r="C131" s="52" t="s">
        <v>36</v>
      </c>
      <c r="D131" s="52" t="s">
        <v>20</v>
      </c>
      <c r="E131" s="12"/>
      <c r="F131" s="25">
        <v>0.99</v>
      </c>
      <c r="G131" s="17"/>
      <c r="H131" s="17"/>
      <c r="I131" s="30">
        <f t="shared" si="147"/>
        <v>1.67</v>
      </c>
      <c r="J131" s="22">
        <f t="shared" si="138"/>
        <v>2.19</v>
      </c>
      <c r="K131" s="22">
        <f t="shared" si="139"/>
        <v>2.8600000000000003</v>
      </c>
      <c r="L131" s="22">
        <f t="shared" si="127"/>
        <v>3.34</v>
      </c>
      <c r="M131" s="22">
        <f t="shared" si="128"/>
        <v>4.1749999999999998</v>
      </c>
      <c r="N131" s="22">
        <f t="shared" si="129"/>
        <v>5.01</v>
      </c>
      <c r="O131" s="22">
        <f t="shared" si="130"/>
        <v>5.8449999999999998</v>
      </c>
      <c r="P131" s="30">
        <f t="shared" si="148"/>
        <v>10.02</v>
      </c>
      <c r="Q131" s="30">
        <f t="shared" si="140"/>
        <v>11.272499999999999</v>
      </c>
      <c r="R131" s="30">
        <f t="shared" si="141"/>
        <v>11.898749999999998</v>
      </c>
      <c r="S131" s="30">
        <f t="shared" si="142"/>
        <v>11.69</v>
      </c>
      <c r="T131" s="30">
        <f t="shared" si="149"/>
        <v>12.524999999999999</v>
      </c>
      <c r="U131" s="30">
        <f t="shared" si="143"/>
        <v>16.7</v>
      </c>
      <c r="V131" s="30">
        <f t="shared" si="144"/>
        <v>33.4</v>
      </c>
      <c r="W131" s="22"/>
      <c r="X131" s="23">
        <f t="shared" si="131"/>
        <v>23380</v>
      </c>
      <c r="Y131" s="23"/>
      <c r="Z131" s="23">
        <f t="shared" si="132"/>
        <v>40080</v>
      </c>
      <c r="AA131" s="23">
        <f t="shared" si="150"/>
        <v>50099.999999999993</v>
      </c>
      <c r="AB131" s="23">
        <f t="shared" si="150"/>
        <v>66800</v>
      </c>
      <c r="AE131" s="36">
        <f t="shared" si="133"/>
        <v>2.27</v>
      </c>
      <c r="AF131" s="37">
        <f t="shared" si="145"/>
        <v>2204.17</v>
      </c>
      <c r="AG131" s="28">
        <f t="shared" si="134"/>
        <v>9729.42</v>
      </c>
      <c r="AH131" s="28">
        <f t="shared" si="151"/>
        <v>12161.774999999998</v>
      </c>
      <c r="AI131" s="28">
        <f t="shared" si="151"/>
        <v>16215.699999999999</v>
      </c>
      <c r="AJ131" s="28">
        <f t="shared" si="151"/>
        <v>32431.399999999998</v>
      </c>
      <c r="AK131" s="38"/>
      <c r="AL131" s="39"/>
      <c r="AM131" s="40"/>
      <c r="AN131" s="28">
        <f t="shared" si="135"/>
        <v>621.24</v>
      </c>
      <c r="AO131" s="28">
        <f t="shared" si="152"/>
        <v>776.55</v>
      </c>
      <c r="AP131" s="28">
        <f t="shared" si="152"/>
        <v>1035.3999999999999</v>
      </c>
      <c r="AQ131" s="28">
        <f t="shared" si="152"/>
        <v>2070.7999999999997</v>
      </c>
      <c r="AS131" s="28">
        <f t="shared" si="136"/>
        <v>77.153999999999996</v>
      </c>
      <c r="AT131" s="28">
        <f t="shared" si="153"/>
        <v>96.442499999999995</v>
      </c>
      <c r="AU131" s="28">
        <f t="shared" si="153"/>
        <v>128.59</v>
      </c>
      <c r="AV131" s="28">
        <f t="shared" si="153"/>
        <v>257.18</v>
      </c>
      <c r="AX131" s="31">
        <f t="shared" si="137"/>
        <v>5010</v>
      </c>
      <c r="AY131" s="31">
        <f t="shared" si="154"/>
        <v>6262.4999999999991</v>
      </c>
      <c r="AZ131" s="31">
        <f t="shared" si="154"/>
        <v>8350</v>
      </c>
      <c r="BA131" s="31">
        <f t="shared" si="154"/>
        <v>16700</v>
      </c>
      <c r="BD131" s="55">
        <f t="shared" si="82"/>
        <v>43.21125</v>
      </c>
      <c r="BE131" s="55">
        <f t="shared" si="83"/>
        <v>57.615000000000002</v>
      </c>
      <c r="BF131" s="55">
        <f t="shared" si="84"/>
        <v>115.23</v>
      </c>
      <c r="BI131" s="55">
        <f t="shared" si="85"/>
        <v>224.82374999999996</v>
      </c>
      <c r="BJ131" s="55">
        <f t="shared" si="86"/>
        <v>299.76499999999999</v>
      </c>
      <c r="BK131" s="55">
        <f t="shared" si="87"/>
        <v>599.53</v>
      </c>
      <c r="BN131" s="56">
        <f t="shared" si="88"/>
        <v>80798.774999999994</v>
      </c>
      <c r="BO131" s="56">
        <f t="shared" si="89"/>
        <v>107731.7</v>
      </c>
      <c r="BP131" s="56">
        <f t="shared" si="90"/>
        <v>215463.4</v>
      </c>
      <c r="BR131" s="54"/>
    </row>
    <row r="132" spans="1:70" x14ac:dyDescent="0.2">
      <c r="A132" s="14">
        <v>53195</v>
      </c>
      <c r="B132" s="51" t="s">
        <v>196</v>
      </c>
      <c r="C132" s="17" t="s">
        <v>4</v>
      </c>
      <c r="D132" s="17" t="s">
        <v>5</v>
      </c>
      <c r="E132" s="18">
        <v>0.96428571428571397</v>
      </c>
      <c r="F132" s="25">
        <v>1.84</v>
      </c>
      <c r="G132" s="13" t="s">
        <v>7</v>
      </c>
      <c r="H132" s="17">
        <v>30</v>
      </c>
      <c r="I132" s="30">
        <f t="shared" si="147"/>
        <v>2.52</v>
      </c>
      <c r="J132" s="22">
        <f t="shared" si="138"/>
        <v>3.04</v>
      </c>
      <c r="K132" s="22">
        <f t="shared" si="139"/>
        <v>3.71</v>
      </c>
      <c r="L132" s="22">
        <f t="shared" si="127"/>
        <v>5.04</v>
      </c>
      <c r="M132" s="22">
        <f t="shared" si="128"/>
        <v>6.3</v>
      </c>
      <c r="N132" s="22">
        <f t="shared" si="129"/>
        <v>7.5600000000000005</v>
      </c>
      <c r="O132" s="22">
        <f t="shared" si="130"/>
        <v>8.82</v>
      </c>
      <c r="P132" s="30">
        <f t="shared" si="148"/>
        <v>15.12</v>
      </c>
      <c r="Q132" s="30">
        <f t="shared" si="140"/>
        <v>17.009999999999998</v>
      </c>
      <c r="R132" s="30">
        <f t="shared" si="141"/>
        <v>17.954999999999998</v>
      </c>
      <c r="S132" s="30">
        <f t="shared" si="142"/>
        <v>17.639999999999997</v>
      </c>
      <c r="T132" s="30">
        <f t="shared" si="149"/>
        <v>18.899999999999999</v>
      </c>
      <c r="U132" s="30">
        <f t="shared" si="143"/>
        <v>25.2</v>
      </c>
      <c r="V132" s="30">
        <f t="shared" si="144"/>
        <v>50.4</v>
      </c>
      <c r="W132" s="22"/>
      <c r="X132" s="23">
        <f t="shared" si="131"/>
        <v>35280</v>
      </c>
      <c r="Y132" s="23"/>
      <c r="Z132" s="23">
        <f t="shared" si="132"/>
        <v>60480</v>
      </c>
      <c r="AA132" s="23">
        <f t="shared" si="150"/>
        <v>75600</v>
      </c>
      <c r="AB132" s="23">
        <f t="shared" si="150"/>
        <v>100800</v>
      </c>
      <c r="AE132" s="36">
        <f t="shared" si="133"/>
        <v>3.12</v>
      </c>
      <c r="AF132" s="37">
        <f t="shared" si="145"/>
        <v>3029.52</v>
      </c>
      <c r="AG132" s="28">
        <f t="shared" si="134"/>
        <v>14681.519999999999</v>
      </c>
      <c r="AH132" s="28">
        <f t="shared" si="151"/>
        <v>18351.899999999998</v>
      </c>
      <c r="AI132" s="28">
        <f t="shared" si="151"/>
        <v>24469.200000000001</v>
      </c>
      <c r="AJ132" s="28">
        <f t="shared" si="151"/>
        <v>48938.400000000001</v>
      </c>
      <c r="AK132" s="38"/>
      <c r="AL132" s="39">
        <v>3.12</v>
      </c>
      <c r="AM132" s="40">
        <f t="shared" si="146"/>
        <v>193.44</v>
      </c>
      <c r="AN132" s="28">
        <f t="shared" si="135"/>
        <v>937.43999999999994</v>
      </c>
      <c r="AO132" s="28">
        <f t="shared" si="152"/>
        <v>1171.8</v>
      </c>
      <c r="AP132" s="28">
        <f t="shared" si="152"/>
        <v>1562.3999999999999</v>
      </c>
      <c r="AQ132" s="28">
        <f t="shared" si="152"/>
        <v>3124.7999999999997</v>
      </c>
      <c r="AS132" s="28">
        <f t="shared" si="136"/>
        <v>116.42399999999999</v>
      </c>
      <c r="AT132" s="28">
        <f t="shared" si="153"/>
        <v>145.53</v>
      </c>
      <c r="AU132" s="28">
        <f t="shared" si="153"/>
        <v>194.04</v>
      </c>
      <c r="AV132" s="28">
        <f t="shared" si="153"/>
        <v>388.08</v>
      </c>
      <c r="AX132" s="31">
        <f t="shared" si="137"/>
        <v>7560</v>
      </c>
      <c r="AY132" s="31">
        <f t="shared" si="154"/>
        <v>9450</v>
      </c>
      <c r="AZ132" s="31">
        <f t="shared" si="154"/>
        <v>12600</v>
      </c>
      <c r="BA132" s="31">
        <f t="shared" si="154"/>
        <v>25200</v>
      </c>
      <c r="BD132" s="55">
        <f t="shared" si="82"/>
        <v>65.204999999999998</v>
      </c>
      <c r="BE132" s="55">
        <f t="shared" si="83"/>
        <v>86.94</v>
      </c>
      <c r="BF132" s="55">
        <f t="shared" si="84"/>
        <v>173.88</v>
      </c>
      <c r="BI132" s="55">
        <f t="shared" si="85"/>
        <v>339.25499999999994</v>
      </c>
      <c r="BJ132" s="55">
        <f t="shared" si="86"/>
        <v>452.34</v>
      </c>
      <c r="BK132" s="55">
        <f t="shared" si="87"/>
        <v>904.68</v>
      </c>
      <c r="BN132" s="56">
        <f t="shared" si="88"/>
        <v>121923.9</v>
      </c>
      <c r="BO132" s="56">
        <f t="shared" si="89"/>
        <v>162565.19999999998</v>
      </c>
      <c r="BP132" s="56">
        <f t="shared" si="90"/>
        <v>325130.39999999997</v>
      </c>
      <c r="BR132" s="54"/>
    </row>
    <row r="133" spans="1:70" x14ac:dyDescent="0.2">
      <c r="A133" s="6">
        <v>53198</v>
      </c>
      <c r="B133" s="51" t="s">
        <v>197</v>
      </c>
      <c r="C133" s="17" t="s">
        <v>4</v>
      </c>
      <c r="D133" s="17" t="s">
        <v>5</v>
      </c>
      <c r="E133" s="26">
        <v>0.96</v>
      </c>
      <c r="F133" s="25">
        <v>0.96</v>
      </c>
      <c r="G133" s="13"/>
      <c r="H133" s="17">
        <v>10</v>
      </c>
      <c r="I133" s="30">
        <f t="shared" si="147"/>
        <v>1.6400000000000001</v>
      </c>
      <c r="J133" s="22">
        <f t="shared" si="138"/>
        <v>2.16</v>
      </c>
      <c r="K133" s="22">
        <f t="shared" si="139"/>
        <v>2.83</v>
      </c>
      <c r="L133" s="22">
        <f t="shared" si="127"/>
        <v>3.2800000000000002</v>
      </c>
      <c r="M133" s="22">
        <f t="shared" si="128"/>
        <v>4.1000000000000005</v>
      </c>
      <c r="N133" s="22">
        <f t="shared" si="129"/>
        <v>4.92</v>
      </c>
      <c r="O133" s="22">
        <f t="shared" si="130"/>
        <v>5.74</v>
      </c>
      <c r="P133" s="30">
        <f t="shared" si="148"/>
        <v>9.8400000000000016</v>
      </c>
      <c r="Q133" s="30">
        <f t="shared" si="140"/>
        <v>11.07</v>
      </c>
      <c r="R133" s="30">
        <f t="shared" si="141"/>
        <v>11.685</v>
      </c>
      <c r="S133" s="30">
        <f t="shared" si="142"/>
        <v>11.48</v>
      </c>
      <c r="T133" s="30">
        <f t="shared" si="149"/>
        <v>12.3</v>
      </c>
      <c r="U133" s="30">
        <f t="shared" si="143"/>
        <v>16.400000000000002</v>
      </c>
      <c r="V133" s="30">
        <f t="shared" si="144"/>
        <v>32.800000000000004</v>
      </c>
      <c r="W133" s="22"/>
      <c r="X133" s="23">
        <f t="shared" si="131"/>
        <v>22960</v>
      </c>
      <c r="Y133" s="23"/>
      <c r="Z133" s="23">
        <f t="shared" si="132"/>
        <v>39360.000000000007</v>
      </c>
      <c r="AA133" s="23">
        <f t="shared" si="150"/>
        <v>49200</v>
      </c>
      <c r="AB133" s="23">
        <f t="shared" si="150"/>
        <v>65600.000000000015</v>
      </c>
      <c r="AE133" s="36">
        <f t="shared" si="133"/>
        <v>2.2400000000000002</v>
      </c>
      <c r="AF133" s="37">
        <f t="shared" si="145"/>
        <v>2175.0400000000004</v>
      </c>
      <c r="AG133" s="28">
        <f t="shared" si="134"/>
        <v>9554.6400000000012</v>
      </c>
      <c r="AH133" s="28">
        <f t="shared" si="151"/>
        <v>11943.300000000001</v>
      </c>
      <c r="AI133" s="28">
        <f t="shared" si="151"/>
        <v>15924.400000000001</v>
      </c>
      <c r="AJ133" s="28">
        <f t="shared" si="151"/>
        <v>31848.800000000003</v>
      </c>
      <c r="AK133" s="38"/>
      <c r="AL133" s="39">
        <v>2.2400000000000002</v>
      </c>
      <c r="AM133" s="40">
        <f t="shared" si="146"/>
        <v>138.88000000000002</v>
      </c>
      <c r="AN133" s="28">
        <f t="shared" si="135"/>
        <v>610.08000000000015</v>
      </c>
      <c r="AO133" s="28">
        <f t="shared" si="152"/>
        <v>762.6</v>
      </c>
      <c r="AP133" s="28">
        <f t="shared" si="152"/>
        <v>1016.8000000000002</v>
      </c>
      <c r="AQ133" s="28">
        <f t="shared" si="152"/>
        <v>2033.6000000000004</v>
      </c>
      <c r="AS133" s="28">
        <f t="shared" si="136"/>
        <v>75.768000000000015</v>
      </c>
      <c r="AT133" s="28">
        <f t="shared" si="153"/>
        <v>94.710000000000008</v>
      </c>
      <c r="AU133" s="28">
        <f t="shared" si="153"/>
        <v>126.28000000000002</v>
      </c>
      <c r="AV133" s="28">
        <f t="shared" si="153"/>
        <v>252.56000000000003</v>
      </c>
      <c r="AX133" s="31">
        <f t="shared" si="137"/>
        <v>4920.0000000000009</v>
      </c>
      <c r="AY133" s="31">
        <f t="shared" si="154"/>
        <v>6150</v>
      </c>
      <c r="AZ133" s="31">
        <f t="shared" si="154"/>
        <v>8200.0000000000018</v>
      </c>
      <c r="BA133" s="31">
        <f t="shared" si="154"/>
        <v>16400.000000000004</v>
      </c>
      <c r="BD133" s="55">
        <f t="shared" si="82"/>
        <v>42.435000000000002</v>
      </c>
      <c r="BE133" s="55">
        <f t="shared" si="83"/>
        <v>56.580000000000013</v>
      </c>
      <c r="BF133" s="55">
        <f t="shared" si="84"/>
        <v>113.16000000000003</v>
      </c>
      <c r="BI133" s="55">
        <f t="shared" si="85"/>
        <v>220.785</v>
      </c>
      <c r="BJ133" s="55">
        <f t="shared" si="86"/>
        <v>294.38000000000005</v>
      </c>
      <c r="BK133" s="55">
        <f t="shared" si="87"/>
        <v>588.7600000000001</v>
      </c>
      <c r="BN133" s="56">
        <f t="shared" si="88"/>
        <v>79347.3</v>
      </c>
      <c r="BO133" s="56">
        <f t="shared" si="89"/>
        <v>105796.40000000001</v>
      </c>
      <c r="BP133" s="56">
        <f t="shared" si="90"/>
        <v>211592.80000000002</v>
      </c>
      <c r="BR133" s="54"/>
    </row>
    <row r="134" spans="1:70" x14ac:dyDescent="0.2">
      <c r="A134" s="14">
        <v>53200</v>
      </c>
      <c r="B134" s="51" t="s">
        <v>198</v>
      </c>
      <c r="C134" s="17" t="s">
        <v>8</v>
      </c>
      <c r="D134" s="17" t="s">
        <v>5</v>
      </c>
      <c r="E134" s="18">
        <v>1.05</v>
      </c>
      <c r="F134" s="25">
        <v>2.17</v>
      </c>
      <c r="G134" s="13" t="s">
        <v>7</v>
      </c>
      <c r="H134" s="17">
        <v>20</v>
      </c>
      <c r="I134" s="30">
        <f t="shared" si="147"/>
        <v>2.85</v>
      </c>
      <c r="J134" s="22">
        <f t="shared" si="138"/>
        <v>3.37</v>
      </c>
      <c r="K134" s="22">
        <f t="shared" si="139"/>
        <v>4.04</v>
      </c>
      <c r="L134" s="22">
        <f t="shared" si="127"/>
        <v>5.7</v>
      </c>
      <c r="M134" s="22">
        <f t="shared" si="128"/>
        <v>7.125</v>
      </c>
      <c r="N134" s="22">
        <f t="shared" si="129"/>
        <v>8.5500000000000007</v>
      </c>
      <c r="O134" s="22">
        <f t="shared" si="130"/>
        <v>9.9749999999999996</v>
      </c>
      <c r="P134" s="30">
        <f t="shared" si="148"/>
        <v>17.100000000000001</v>
      </c>
      <c r="Q134" s="30">
        <f t="shared" si="140"/>
        <v>19.237500000000001</v>
      </c>
      <c r="R134" s="30">
        <f t="shared" si="141"/>
        <v>20.306249999999999</v>
      </c>
      <c r="S134" s="30">
        <f t="shared" si="142"/>
        <v>19.95</v>
      </c>
      <c r="T134" s="30">
        <f t="shared" si="149"/>
        <v>21.375</v>
      </c>
      <c r="U134" s="30">
        <f t="shared" si="143"/>
        <v>28.5</v>
      </c>
      <c r="V134" s="30">
        <f t="shared" si="144"/>
        <v>57</v>
      </c>
      <c r="W134" s="22"/>
      <c r="X134" s="23">
        <f t="shared" si="131"/>
        <v>39900</v>
      </c>
      <c r="Y134" s="23"/>
      <c r="Z134" s="23">
        <f t="shared" si="132"/>
        <v>68400</v>
      </c>
      <c r="AA134" s="23">
        <f t="shared" si="150"/>
        <v>85500</v>
      </c>
      <c r="AB134" s="23">
        <f t="shared" si="150"/>
        <v>114000</v>
      </c>
      <c r="AE134" s="36">
        <f t="shared" si="133"/>
        <v>3.45</v>
      </c>
      <c r="AF134" s="37">
        <f t="shared" si="145"/>
        <v>3349.9500000000003</v>
      </c>
      <c r="AG134" s="28">
        <f t="shared" si="134"/>
        <v>16604.100000000002</v>
      </c>
      <c r="AH134" s="28">
        <f t="shared" si="151"/>
        <v>20755.125</v>
      </c>
      <c r="AI134" s="28">
        <f t="shared" si="151"/>
        <v>27673.5</v>
      </c>
      <c r="AJ134" s="28">
        <f t="shared" si="151"/>
        <v>55347</v>
      </c>
      <c r="AK134" s="38"/>
      <c r="AL134" s="39">
        <v>3.45</v>
      </c>
      <c r="AM134" s="40">
        <f t="shared" si="146"/>
        <v>213.9</v>
      </c>
      <c r="AN134" s="28">
        <f t="shared" si="135"/>
        <v>1060.2</v>
      </c>
      <c r="AO134" s="28">
        <f t="shared" si="152"/>
        <v>1325.25</v>
      </c>
      <c r="AP134" s="28">
        <f t="shared" si="152"/>
        <v>1767</v>
      </c>
      <c r="AQ134" s="28">
        <f t="shared" si="152"/>
        <v>3534</v>
      </c>
      <c r="AS134" s="28">
        <f t="shared" si="136"/>
        <v>131.67000000000002</v>
      </c>
      <c r="AT134" s="28">
        <f t="shared" si="153"/>
        <v>164.58750000000001</v>
      </c>
      <c r="AU134" s="28">
        <f t="shared" si="153"/>
        <v>219.45000000000002</v>
      </c>
      <c r="AV134" s="28">
        <f t="shared" si="153"/>
        <v>438.90000000000003</v>
      </c>
      <c r="AX134" s="31">
        <f t="shared" si="137"/>
        <v>8550</v>
      </c>
      <c r="AY134" s="31">
        <f t="shared" si="154"/>
        <v>10687.5</v>
      </c>
      <c r="AZ134" s="31">
        <f t="shared" si="154"/>
        <v>14250</v>
      </c>
      <c r="BA134" s="31">
        <f t="shared" si="154"/>
        <v>28500</v>
      </c>
      <c r="BD134" s="55">
        <f t="shared" si="82"/>
        <v>73.743750000000006</v>
      </c>
      <c r="BE134" s="55">
        <f t="shared" si="83"/>
        <v>98.325000000000003</v>
      </c>
      <c r="BF134" s="55">
        <f t="shared" si="84"/>
        <v>196.65</v>
      </c>
      <c r="BI134" s="55">
        <f t="shared" si="85"/>
        <v>383.68124999999998</v>
      </c>
      <c r="BJ134" s="55">
        <f t="shared" si="86"/>
        <v>511.57499999999999</v>
      </c>
      <c r="BK134" s="55">
        <f t="shared" si="87"/>
        <v>1023.15</v>
      </c>
      <c r="BN134" s="56">
        <f t="shared" si="88"/>
        <v>137890.125</v>
      </c>
      <c r="BO134" s="56">
        <f t="shared" si="89"/>
        <v>183853.5</v>
      </c>
      <c r="BP134" s="56">
        <f t="shared" si="90"/>
        <v>367707</v>
      </c>
      <c r="BR134" s="54"/>
    </row>
    <row r="135" spans="1:70" x14ac:dyDescent="0.2">
      <c r="A135" s="14">
        <v>53372</v>
      </c>
      <c r="B135" s="53" t="s">
        <v>199</v>
      </c>
      <c r="C135" s="17" t="s">
        <v>23</v>
      </c>
      <c r="D135" s="17" t="s">
        <v>20</v>
      </c>
      <c r="E135" s="18">
        <v>0.63428571428571401</v>
      </c>
      <c r="F135" s="19">
        <v>1.1399999999999999</v>
      </c>
      <c r="G135" s="13" t="s">
        <v>7</v>
      </c>
      <c r="H135" s="11">
        <v>10</v>
      </c>
      <c r="I135" s="17">
        <f t="shared" si="147"/>
        <v>1.8199999999999998</v>
      </c>
      <c r="J135" s="22">
        <f t="shared" si="138"/>
        <v>2.34</v>
      </c>
      <c r="K135" s="22">
        <f t="shared" si="139"/>
        <v>3.01</v>
      </c>
      <c r="L135" s="22">
        <f t="shared" si="127"/>
        <v>3.6399999999999997</v>
      </c>
      <c r="M135" s="22">
        <f t="shared" si="128"/>
        <v>4.55</v>
      </c>
      <c r="N135" s="22">
        <f t="shared" si="129"/>
        <v>5.4599999999999991</v>
      </c>
      <c r="O135" s="22">
        <f t="shared" si="130"/>
        <v>6.3699999999999992</v>
      </c>
      <c r="P135" s="30">
        <f t="shared" si="148"/>
        <v>10.92</v>
      </c>
      <c r="Q135" s="30">
        <f t="shared" si="140"/>
        <v>12.284999999999998</v>
      </c>
      <c r="R135" s="30">
        <f t="shared" si="141"/>
        <v>12.967499999999998</v>
      </c>
      <c r="S135" s="30">
        <f t="shared" si="142"/>
        <v>12.739999999999998</v>
      </c>
      <c r="T135" s="30">
        <f t="shared" si="149"/>
        <v>13.649999999999999</v>
      </c>
      <c r="U135" s="30">
        <f t="shared" si="143"/>
        <v>18.2</v>
      </c>
      <c r="V135" s="30">
        <f t="shared" si="144"/>
        <v>36.4</v>
      </c>
      <c r="W135" s="22"/>
      <c r="X135" s="23">
        <f t="shared" si="131"/>
        <v>25479.999999999996</v>
      </c>
      <c r="Y135" s="23"/>
      <c r="Z135" s="23">
        <f t="shared" si="132"/>
        <v>43680</v>
      </c>
      <c r="AA135" s="23">
        <f t="shared" si="150"/>
        <v>54599.999999999993</v>
      </c>
      <c r="AB135" s="23">
        <f t="shared" si="150"/>
        <v>72800</v>
      </c>
      <c r="AE135" s="36">
        <f t="shared" si="133"/>
        <v>2.42</v>
      </c>
      <c r="AF135" s="37">
        <f t="shared" si="145"/>
        <v>2349.8199999999997</v>
      </c>
      <c r="AG135" s="28">
        <f t="shared" si="134"/>
        <v>10603.32</v>
      </c>
      <c r="AH135" s="28">
        <f t="shared" si="151"/>
        <v>13254.149999999998</v>
      </c>
      <c r="AI135" s="28">
        <f t="shared" si="151"/>
        <v>17672.2</v>
      </c>
      <c r="AJ135" s="28">
        <f t="shared" si="151"/>
        <v>35344.400000000001</v>
      </c>
      <c r="AK135" s="38"/>
      <c r="AL135" s="39">
        <v>2.42</v>
      </c>
      <c r="AM135" s="40">
        <f t="shared" si="146"/>
        <v>150.04</v>
      </c>
      <c r="AN135" s="28">
        <f t="shared" si="135"/>
        <v>677.04</v>
      </c>
      <c r="AO135" s="28">
        <f t="shared" si="152"/>
        <v>846.3</v>
      </c>
      <c r="AP135" s="28">
        <f t="shared" si="152"/>
        <v>1128.3999999999999</v>
      </c>
      <c r="AQ135" s="28">
        <f t="shared" si="152"/>
        <v>2256.7999999999997</v>
      </c>
      <c r="AS135" s="28">
        <f t="shared" si="136"/>
        <v>84.084000000000003</v>
      </c>
      <c r="AT135" s="28">
        <f t="shared" si="153"/>
        <v>105.10499999999999</v>
      </c>
      <c r="AU135" s="28">
        <f t="shared" si="153"/>
        <v>140.13999999999999</v>
      </c>
      <c r="AV135" s="28">
        <f t="shared" si="153"/>
        <v>280.27999999999997</v>
      </c>
      <c r="AX135" s="31">
        <f t="shared" si="137"/>
        <v>5460</v>
      </c>
      <c r="AY135" s="31">
        <f t="shared" si="154"/>
        <v>6824.9999999999991</v>
      </c>
      <c r="AZ135" s="31">
        <f t="shared" si="154"/>
        <v>9100</v>
      </c>
      <c r="BA135" s="31">
        <f t="shared" si="154"/>
        <v>18200</v>
      </c>
      <c r="BD135" s="55">
        <f t="shared" si="82"/>
        <v>47.092499999999994</v>
      </c>
      <c r="BE135" s="55">
        <f t="shared" si="83"/>
        <v>62.79</v>
      </c>
      <c r="BF135" s="55">
        <f t="shared" si="84"/>
        <v>125.58</v>
      </c>
      <c r="BI135" s="55">
        <f t="shared" si="85"/>
        <v>245.01749999999996</v>
      </c>
      <c r="BJ135" s="55">
        <f t="shared" si="86"/>
        <v>326.69</v>
      </c>
      <c r="BK135" s="55">
        <f t="shared" si="87"/>
        <v>653.38</v>
      </c>
      <c r="BN135" s="56">
        <f t="shared" si="88"/>
        <v>88056.15</v>
      </c>
      <c r="BO135" s="56">
        <f t="shared" si="89"/>
        <v>117408.2</v>
      </c>
      <c r="BP135" s="56">
        <f t="shared" si="90"/>
        <v>234816.4</v>
      </c>
      <c r="BR135" s="54"/>
    </row>
    <row r="136" spans="1:70" x14ac:dyDescent="0.2">
      <c r="A136" s="14">
        <v>53374</v>
      </c>
      <c r="B136" s="53" t="s">
        <v>200</v>
      </c>
      <c r="C136" s="17" t="s">
        <v>23</v>
      </c>
      <c r="D136" s="17" t="s">
        <v>5</v>
      </c>
      <c r="E136" s="18">
        <v>0.65142857142857102</v>
      </c>
      <c r="F136" s="19">
        <v>1.1599999999999999</v>
      </c>
      <c r="G136" s="13" t="s">
        <v>7</v>
      </c>
      <c r="H136" s="11">
        <v>10</v>
      </c>
      <c r="I136" s="17">
        <f t="shared" si="147"/>
        <v>1.8399999999999999</v>
      </c>
      <c r="J136" s="22">
        <f t="shared" si="138"/>
        <v>2.36</v>
      </c>
      <c r="K136" s="22">
        <f t="shared" si="139"/>
        <v>3.0300000000000002</v>
      </c>
      <c r="L136" s="22">
        <f t="shared" si="127"/>
        <v>3.6799999999999997</v>
      </c>
      <c r="M136" s="22">
        <f t="shared" si="128"/>
        <v>4.5999999999999996</v>
      </c>
      <c r="N136" s="22">
        <f t="shared" si="129"/>
        <v>5.52</v>
      </c>
      <c r="O136" s="22">
        <f t="shared" si="130"/>
        <v>6.4399999999999995</v>
      </c>
      <c r="P136" s="30">
        <f t="shared" si="148"/>
        <v>11.04</v>
      </c>
      <c r="Q136" s="30">
        <f t="shared" si="140"/>
        <v>12.42</v>
      </c>
      <c r="R136" s="30">
        <f t="shared" si="141"/>
        <v>13.109999999999998</v>
      </c>
      <c r="S136" s="30">
        <f t="shared" si="142"/>
        <v>12.879999999999999</v>
      </c>
      <c r="T136" s="30">
        <f t="shared" si="149"/>
        <v>13.799999999999999</v>
      </c>
      <c r="U136" s="30">
        <f t="shared" si="143"/>
        <v>18.399999999999999</v>
      </c>
      <c r="V136" s="30">
        <f t="shared" si="144"/>
        <v>36.799999999999997</v>
      </c>
      <c r="W136" s="22"/>
      <c r="X136" s="23">
        <f t="shared" si="131"/>
        <v>25759.999999999996</v>
      </c>
      <c r="Y136" s="23"/>
      <c r="Z136" s="23">
        <f t="shared" si="132"/>
        <v>44160</v>
      </c>
      <c r="AA136" s="23">
        <f t="shared" si="150"/>
        <v>55199.999999999993</v>
      </c>
      <c r="AB136" s="23">
        <f t="shared" si="150"/>
        <v>73600</v>
      </c>
      <c r="AE136" s="36">
        <f t="shared" si="133"/>
        <v>2.44</v>
      </c>
      <c r="AF136" s="37">
        <f t="shared" si="145"/>
        <v>2369.2399999999998</v>
      </c>
      <c r="AG136" s="28">
        <f t="shared" si="134"/>
        <v>10719.839999999998</v>
      </c>
      <c r="AH136" s="28">
        <f t="shared" si="151"/>
        <v>13399.8</v>
      </c>
      <c r="AI136" s="28">
        <f t="shared" si="151"/>
        <v>17866.399999999998</v>
      </c>
      <c r="AJ136" s="28">
        <f t="shared" si="151"/>
        <v>35732.799999999996</v>
      </c>
      <c r="AK136" s="38"/>
      <c r="AL136" s="39">
        <v>2.44</v>
      </c>
      <c r="AM136" s="40">
        <f t="shared" si="146"/>
        <v>151.28</v>
      </c>
      <c r="AN136" s="28">
        <f t="shared" si="135"/>
        <v>684.4799999999999</v>
      </c>
      <c r="AO136" s="28">
        <f t="shared" si="152"/>
        <v>855.59999999999991</v>
      </c>
      <c r="AP136" s="28">
        <f t="shared" si="152"/>
        <v>1140.8</v>
      </c>
      <c r="AQ136" s="28">
        <f t="shared" si="152"/>
        <v>2281.6</v>
      </c>
      <c r="AS136" s="28">
        <f t="shared" si="136"/>
        <v>85.007999999999996</v>
      </c>
      <c r="AT136" s="28">
        <f t="shared" si="153"/>
        <v>106.25999999999999</v>
      </c>
      <c r="AU136" s="28">
        <f t="shared" si="153"/>
        <v>141.67999999999998</v>
      </c>
      <c r="AV136" s="28">
        <f t="shared" si="153"/>
        <v>283.35999999999996</v>
      </c>
      <c r="AX136" s="31">
        <f t="shared" si="137"/>
        <v>5520</v>
      </c>
      <c r="AY136" s="31">
        <f t="shared" si="154"/>
        <v>6899.9999999999991</v>
      </c>
      <c r="AZ136" s="31">
        <f t="shared" si="154"/>
        <v>9200</v>
      </c>
      <c r="BA136" s="31">
        <f t="shared" si="154"/>
        <v>18400</v>
      </c>
      <c r="BD136" s="55">
        <f t="shared" si="82"/>
        <v>47.61</v>
      </c>
      <c r="BE136" s="55">
        <f t="shared" si="83"/>
        <v>63.48</v>
      </c>
      <c r="BF136" s="55">
        <f t="shared" si="84"/>
        <v>126.96</v>
      </c>
      <c r="BI136" s="55">
        <f t="shared" si="85"/>
        <v>247.70999999999998</v>
      </c>
      <c r="BJ136" s="55">
        <f t="shared" si="86"/>
        <v>330.28</v>
      </c>
      <c r="BK136" s="55">
        <f t="shared" si="87"/>
        <v>660.56</v>
      </c>
      <c r="BN136" s="56">
        <f t="shared" si="88"/>
        <v>89023.799999999988</v>
      </c>
      <c r="BO136" s="56">
        <f t="shared" si="89"/>
        <v>118698.4</v>
      </c>
      <c r="BP136" s="56">
        <f t="shared" si="90"/>
        <v>237396.8</v>
      </c>
      <c r="BR136" s="54"/>
    </row>
    <row r="137" spans="1:70" x14ac:dyDescent="0.2">
      <c r="A137" s="14">
        <v>53390</v>
      </c>
      <c r="B137" s="53" t="s">
        <v>201</v>
      </c>
      <c r="C137" s="34" t="s">
        <v>60</v>
      </c>
      <c r="D137" s="17" t="s">
        <v>5</v>
      </c>
      <c r="E137" s="18">
        <v>0.68571428571428605</v>
      </c>
      <c r="F137" s="19">
        <v>1.51</v>
      </c>
      <c r="G137" s="13" t="s">
        <v>7</v>
      </c>
      <c r="H137" s="11">
        <v>20</v>
      </c>
      <c r="I137" s="17">
        <f t="shared" si="147"/>
        <v>2.19</v>
      </c>
      <c r="J137" s="22">
        <f t="shared" si="138"/>
        <v>2.71</v>
      </c>
      <c r="K137" s="22">
        <f t="shared" si="139"/>
        <v>3.38</v>
      </c>
      <c r="L137" s="22">
        <f t="shared" si="127"/>
        <v>4.38</v>
      </c>
      <c r="M137" s="22">
        <f t="shared" si="128"/>
        <v>5.4749999999999996</v>
      </c>
      <c r="N137" s="22">
        <f t="shared" si="129"/>
        <v>6.57</v>
      </c>
      <c r="O137" s="22">
        <f t="shared" si="130"/>
        <v>7.665</v>
      </c>
      <c r="P137" s="30">
        <f t="shared" si="148"/>
        <v>13.139999999999999</v>
      </c>
      <c r="Q137" s="30">
        <f t="shared" si="140"/>
        <v>14.782499999999997</v>
      </c>
      <c r="R137" s="30">
        <f t="shared" si="141"/>
        <v>15.603749999999996</v>
      </c>
      <c r="S137" s="30">
        <f t="shared" si="142"/>
        <v>15.329999999999998</v>
      </c>
      <c r="T137" s="30">
        <f t="shared" si="149"/>
        <v>16.424999999999997</v>
      </c>
      <c r="U137" s="30">
        <f t="shared" si="143"/>
        <v>21.9</v>
      </c>
      <c r="V137" s="30">
        <f t="shared" si="144"/>
        <v>43.8</v>
      </c>
      <c r="W137" s="22"/>
      <c r="X137" s="23">
        <f t="shared" si="131"/>
        <v>30660</v>
      </c>
      <c r="Y137" s="23"/>
      <c r="Z137" s="23">
        <f t="shared" si="132"/>
        <v>52559.999999999993</v>
      </c>
      <c r="AA137" s="23">
        <f t="shared" si="150"/>
        <v>65699.999999999985</v>
      </c>
      <c r="AB137" s="23">
        <f t="shared" si="150"/>
        <v>87600</v>
      </c>
      <c r="AE137" s="36">
        <f t="shared" si="133"/>
        <v>2.79</v>
      </c>
      <c r="AF137" s="37">
        <f t="shared" si="145"/>
        <v>2709.09</v>
      </c>
      <c r="AG137" s="28">
        <f t="shared" si="134"/>
        <v>12758.939999999999</v>
      </c>
      <c r="AH137" s="28">
        <f t="shared" si="151"/>
        <v>15948.674999999997</v>
      </c>
      <c r="AI137" s="28">
        <f t="shared" si="151"/>
        <v>21264.899999999998</v>
      </c>
      <c r="AJ137" s="28">
        <f t="shared" si="151"/>
        <v>42529.799999999996</v>
      </c>
      <c r="AK137" s="38"/>
      <c r="AL137" s="39">
        <v>3.3000000000000003</v>
      </c>
      <c r="AM137" s="40">
        <f t="shared" si="146"/>
        <v>204.60000000000002</v>
      </c>
      <c r="AN137" s="28">
        <f t="shared" si="135"/>
        <v>814.68</v>
      </c>
      <c r="AO137" s="28">
        <f t="shared" si="152"/>
        <v>1018.3499999999998</v>
      </c>
      <c r="AP137" s="28">
        <f t="shared" si="152"/>
        <v>1357.8</v>
      </c>
      <c r="AQ137" s="28">
        <f t="shared" si="152"/>
        <v>2715.6</v>
      </c>
      <c r="AS137" s="28">
        <f t="shared" si="136"/>
        <v>101.178</v>
      </c>
      <c r="AT137" s="28">
        <f t="shared" si="153"/>
        <v>126.47249999999998</v>
      </c>
      <c r="AU137" s="28">
        <f t="shared" si="153"/>
        <v>168.63</v>
      </c>
      <c r="AV137" s="28">
        <f t="shared" si="153"/>
        <v>337.26</v>
      </c>
      <c r="AX137" s="31">
        <f t="shared" si="137"/>
        <v>6569.9999999999991</v>
      </c>
      <c r="AY137" s="31">
        <f t="shared" si="154"/>
        <v>8212.4999999999982</v>
      </c>
      <c r="AZ137" s="31">
        <f t="shared" si="154"/>
        <v>10950</v>
      </c>
      <c r="BA137" s="31">
        <f t="shared" si="154"/>
        <v>21900</v>
      </c>
      <c r="BD137" s="55">
        <f t="shared" ref="BD137:BD160" si="155">T137*3.45</f>
        <v>56.666249999999991</v>
      </c>
      <c r="BE137" s="55">
        <f t="shared" ref="BE137:BE160" si="156">U137*3.45</f>
        <v>75.554999999999993</v>
      </c>
      <c r="BF137" s="55">
        <f t="shared" ref="BF137:BF160" si="157">V137*3.45</f>
        <v>151.10999999999999</v>
      </c>
      <c r="BI137" s="55">
        <f t="shared" ref="BI137:BI160" si="158">T137*17.95</f>
        <v>294.82874999999996</v>
      </c>
      <c r="BJ137" s="55">
        <f t="shared" ref="BJ137:BJ160" si="159">U137*17.95</f>
        <v>393.10499999999996</v>
      </c>
      <c r="BK137" s="55">
        <f t="shared" ref="BK137:BK160" si="160">V137*17.95</f>
        <v>786.20999999999992</v>
      </c>
      <c r="BN137" s="56">
        <f t="shared" ref="BN137:BN160" si="161">T137*6451</f>
        <v>105957.67499999999</v>
      </c>
      <c r="BO137" s="56">
        <f t="shared" ref="BO137:BO160" si="162">U137*6451</f>
        <v>141276.9</v>
      </c>
      <c r="BP137" s="56">
        <f t="shared" ref="BP137:BP160" si="163">V137*6451</f>
        <v>282553.8</v>
      </c>
      <c r="BR137" s="54"/>
    </row>
    <row r="138" spans="1:70" x14ac:dyDescent="0.2">
      <c r="A138" s="14">
        <v>53400</v>
      </c>
      <c r="B138" s="53" t="s">
        <v>202</v>
      </c>
      <c r="C138" s="17" t="s">
        <v>8</v>
      </c>
      <c r="D138" s="17" t="s">
        <v>5</v>
      </c>
      <c r="E138" s="18">
        <v>0.77142857142857102</v>
      </c>
      <c r="F138" s="19">
        <v>2.02</v>
      </c>
      <c r="G138" s="13" t="s">
        <v>7</v>
      </c>
      <c r="H138" s="17">
        <v>40</v>
      </c>
      <c r="I138" s="17">
        <f t="shared" si="147"/>
        <v>2.7</v>
      </c>
      <c r="J138" s="22">
        <f t="shared" si="138"/>
        <v>3.2199999999999998</v>
      </c>
      <c r="K138" s="22">
        <f t="shared" si="139"/>
        <v>3.89</v>
      </c>
      <c r="L138" s="22">
        <f t="shared" si="127"/>
        <v>5.4</v>
      </c>
      <c r="M138" s="22">
        <f t="shared" si="128"/>
        <v>6.75</v>
      </c>
      <c r="N138" s="22">
        <f t="shared" si="129"/>
        <v>8.1000000000000014</v>
      </c>
      <c r="O138" s="22">
        <f t="shared" si="130"/>
        <v>9.4500000000000011</v>
      </c>
      <c r="P138" s="30">
        <f t="shared" si="148"/>
        <v>16.2</v>
      </c>
      <c r="Q138" s="30">
        <f t="shared" si="140"/>
        <v>18.225000000000001</v>
      </c>
      <c r="R138" s="30">
        <f t="shared" si="141"/>
        <v>19.237500000000001</v>
      </c>
      <c r="S138" s="30">
        <f t="shared" si="142"/>
        <v>18.899999999999999</v>
      </c>
      <c r="T138" s="30">
        <f t="shared" si="149"/>
        <v>20.25</v>
      </c>
      <c r="U138" s="30">
        <f t="shared" si="143"/>
        <v>27</v>
      </c>
      <c r="V138" s="30">
        <f t="shared" si="144"/>
        <v>54</v>
      </c>
      <c r="W138" s="22"/>
      <c r="X138" s="23">
        <f t="shared" si="131"/>
        <v>37800.000000000007</v>
      </c>
      <c r="Y138" s="23"/>
      <c r="Z138" s="23">
        <f t="shared" si="132"/>
        <v>64800</v>
      </c>
      <c r="AA138" s="23">
        <f t="shared" si="150"/>
        <v>81000</v>
      </c>
      <c r="AB138" s="23">
        <f t="shared" si="150"/>
        <v>108000</v>
      </c>
      <c r="AE138" s="36">
        <f t="shared" si="133"/>
        <v>3.3000000000000003</v>
      </c>
      <c r="AF138" s="37">
        <f t="shared" si="145"/>
        <v>3204.3</v>
      </c>
      <c r="AG138" s="28">
        <f t="shared" si="134"/>
        <v>15730.199999999999</v>
      </c>
      <c r="AH138" s="28">
        <f t="shared" si="151"/>
        <v>19662.75</v>
      </c>
      <c r="AI138" s="28">
        <f t="shared" si="151"/>
        <v>26217</v>
      </c>
      <c r="AJ138" s="28">
        <f t="shared" si="151"/>
        <v>52434</v>
      </c>
      <c r="AK138" s="38"/>
      <c r="AL138" s="39">
        <v>2.79</v>
      </c>
      <c r="AM138" s="40">
        <f t="shared" si="146"/>
        <v>172.98</v>
      </c>
      <c r="AN138" s="28">
        <f t="shared" si="135"/>
        <v>1004.4</v>
      </c>
      <c r="AO138" s="28">
        <f t="shared" si="152"/>
        <v>1255.5</v>
      </c>
      <c r="AP138" s="28">
        <f t="shared" si="152"/>
        <v>1674</v>
      </c>
      <c r="AQ138" s="28">
        <f t="shared" si="152"/>
        <v>3348</v>
      </c>
      <c r="AS138" s="28">
        <f t="shared" si="136"/>
        <v>124.74</v>
      </c>
      <c r="AT138" s="28">
        <f t="shared" si="153"/>
        <v>155.92500000000001</v>
      </c>
      <c r="AU138" s="28">
        <f t="shared" si="153"/>
        <v>207.9</v>
      </c>
      <c r="AV138" s="28">
        <f t="shared" si="153"/>
        <v>415.8</v>
      </c>
      <c r="AX138" s="31">
        <f t="shared" si="137"/>
        <v>8100</v>
      </c>
      <c r="AY138" s="31">
        <f t="shared" si="154"/>
        <v>10125</v>
      </c>
      <c r="AZ138" s="31">
        <f t="shared" si="154"/>
        <v>13500</v>
      </c>
      <c r="BA138" s="31">
        <f t="shared" si="154"/>
        <v>27000</v>
      </c>
      <c r="BD138" s="55">
        <f t="shared" si="155"/>
        <v>69.862499999999997</v>
      </c>
      <c r="BE138" s="55">
        <f t="shared" si="156"/>
        <v>93.15</v>
      </c>
      <c r="BF138" s="55">
        <f t="shared" si="157"/>
        <v>186.3</v>
      </c>
      <c r="BI138" s="55">
        <f t="shared" si="158"/>
        <v>363.48750000000001</v>
      </c>
      <c r="BJ138" s="55">
        <f t="shared" si="159"/>
        <v>484.65</v>
      </c>
      <c r="BK138" s="55">
        <f t="shared" si="160"/>
        <v>969.3</v>
      </c>
      <c r="BN138" s="56">
        <f t="shared" si="161"/>
        <v>130632.75</v>
      </c>
      <c r="BO138" s="56">
        <f t="shared" si="162"/>
        <v>174177</v>
      </c>
      <c r="BP138" s="56">
        <f t="shared" si="163"/>
        <v>348354</v>
      </c>
      <c r="BR138" s="54"/>
    </row>
    <row r="139" spans="1:70" x14ac:dyDescent="0.2">
      <c r="A139" s="14">
        <v>53488</v>
      </c>
      <c r="B139" s="53" t="s">
        <v>209</v>
      </c>
      <c r="C139" s="17" t="s">
        <v>11</v>
      </c>
      <c r="D139" s="17" t="s">
        <v>20</v>
      </c>
      <c r="E139" s="18">
        <v>0.49285714285714299</v>
      </c>
      <c r="F139" s="19">
        <v>0.99</v>
      </c>
      <c r="G139" s="13" t="s">
        <v>7</v>
      </c>
      <c r="H139" s="11">
        <v>10</v>
      </c>
      <c r="I139" s="17">
        <f t="shared" si="147"/>
        <v>1.67</v>
      </c>
      <c r="J139" s="22">
        <f t="shared" si="138"/>
        <v>2.19</v>
      </c>
      <c r="K139" s="22">
        <f t="shared" si="139"/>
        <v>2.8600000000000003</v>
      </c>
      <c r="L139" s="22">
        <f t="shared" si="127"/>
        <v>3.34</v>
      </c>
      <c r="M139" s="22">
        <f t="shared" si="128"/>
        <v>4.1749999999999998</v>
      </c>
      <c r="N139" s="22">
        <f t="shared" si="129"/>
        <v>5.01</v>
      </c>
      <c r="O139" s="22">
        <f t="shared" si="130"/>
        <v>5.8449999999999998</v>
      </c>
      <c r="P139" s="30">
        <f t="shared" si="148"/>
        <v>10.02</v>
      </c>
      <c r="Q139" s="30">
        <f t="shared" si="140"/>
        <v>11.272499999999999</v>
      </c>
      <c r="R139" s="30">
        <f t="shared" si="141"/>
        <v>11.898749999999998</v>
      </c>
      <c r="S139" s="30">
        <f t="shared" si="142"/>
        <v>11.69</v>
      </c>
      <c r="T139" s="30">
        <f t="shared" si="149"/>
        <v>12.524999999999999</v>
      </c>
      <c r="U139" s="30">
        <f t="shared" si="143"/>
        <v>16.7</v>
      </c>
      <c r="V139" s="30">
        <f t="shared" si="144"/>
        <v>33.4</v>
      </c>
      <c r="W139" s="22"/>
      <c r="X139" s="23">
        <f t="shared" si="131"/>
        <v>23380</v>
      </c>
      <c r="Y139" s="23"/>
      <c r="Z139" s="23">
        <f t="shared" si="132"/>
        <v>40080</v>
      </c>
      <c r="AA139" s="23">
        <f t="shared" si="150"/>
        <v>50099.999999999993</v>
      </c>
      <c r="AB139" s="23">
        <f t="shared" si="150"/>
        <v>66800</v>
      </c>
      <c r="AE139" s="36">
        <f t="shared" si="133"/>
        <v>2.27</v>
      </c>
      <c r="AF139" s="37">
        <f t="shared" si="145"/>
        <v>2204.17</v>
      </c>
      <c r="AG139" s="28">
        <f t="shared" si="134"/>
        <v>9729.42</v>
      </c>
      <c r="AH139" s="28">
        <f t="shared" si="151"/>
        <v>12161.774999999998</v>
      </c>
      <c r="AI139" s="28">
        <f t="shared" si="151"/>
        <v>16215.699999999999</v>
      </c>
      <c r="AJ139" s="28">
        <f t="shared" si="151"/>
        <v>32431.399999999998</v>
      </c>
      <c r="AK139" s="38"/>
      <c r="AL139" s="39">
        <v>2.27</v>
      </c>
      <c r="AM139" s="40">
        <f t="shared" si="146"/>
        <v>140.74</v>
      </c>
      <c r="AN139" s="28">
        <f t="shared" si="135"/>
        <v>621.24</v>
      </c>
      <c r="AO139" s="28">
        <f t="shared" si="152"/>
        <v>776.55</v>
      </c>
      <c r="AP139" s="28">
        <f t="shared" si="152"/>
        <v>1035.3999999999999</v>
      </c>
      <c r="AQ139" s="28">
        <f t="shared" si="152"/>
        <v>2070.7999999999997</v>
      </c>
      <c r="AS139" s="28">
        <f t="shared" si="136"/>
        <v>77.153999999999996</v>
      </c>
      <c r="AT139" s="28">
        <f t="shared" si="153"/>
        <v>96.442499999999995</v>
      </c>
      <c r="AU139" s="28">
        <f t="shared" si="153"/>
        <v>128.59</v>
      </c>
      <c r="AV139" s="28">
        <f t="shared" si="153"/>
        <v>257.18</v>
      </c>
      <c r="AX139" s="31">
        <f t="shared" si="137"/>
        <v>5010</v>
      </c>
      <c r="AY139" s="31">
        <f t="shared" si="154"/>
        <v>6262.4999999999991</v>
      </c>
      <c r="AZ139" s="31">
        <f t="shared" si="154"/>
        <v>8350</v>
      </c>
      <c r="BA139" s="31">
        <f t="shared" si="154"/>
        <v>16700</v>
      </c>
      <c r="BD139" s="55">
        <f t="shared" si="155"/>
        <v>43.21125</v>
      </c>
      <c r="BE139" s="55">
        <f t="shared" si="156"/>
        <v>57.615000000000002</v>
      </c>
      <c r="BF139" s="55">
        <f t="shared" si="157"/>
        <v>115.23</v>
      </c>
      <c r="BI139" s="55">
        <f t="shared" si="158"/>
        <v>224.82374999999996</v>
      </c>
      <c r="BJ139" s="55">
        <f t="shared" si="159"/>
        <v>299.76499999999999</v>
      </c>
      <c r="BK139" s="55">
        <f t="shared" si="160"/>
        <v>599.53</v>
      </c>
      <c r="BN139" s="56">
        <f t="shared" si="161"/>
        <v>80798.774999999994</v>
      </c>
      <c r="BO139" s="56">
        <f t="shared" si="162"/>
        <v>107731.7</v>
      </c>
      <c r="BP139" s="56">
        <f t="shared" si="163"/>
        <v>215463.4</v>
      </c>
      <c r="BR139" s="54"/>
    </row>
    <row r="140" spans="1:70" x14ac:dyDescent="0.2">
      <c r="A140" s="14">
        <v>53493</v>
      </c>
      <c r="B140" s="53" t="s">
        <v>210</v>
      </c>
      <c r="C140" s="17" t="s">
        <v>4</v>
      </c>
      <c r="D140" s="17" t="s">
        <v>5</v>
      </c>
      <c r="E140" s="18">
        <v>0.497142857142857</v>
      </c>
      <c r="F140" s="19">
        <v>1.1100000000000001</v>
      </c>
      <c r="G140" s="13" t="s">
        <v>7</v>
      </c>
      <c r="H140" s="11">
        <v>20</v>
      </c>
      <c r="I140" s="17">
        <f t="shared" si="147"/>
        <v>1.79</v>
      </c>
      <c r="J140" s="22">
        <f t="shared" si="138"/>
        <v>2.31</v>
      </c>
      <c r="K140" s="22">
        <f t="shared" si="139"/>
        <v>2.9800000000000004</v>
      </c>
      <c r="L140" s="22">
        <f t="shared" si="127"/>
        <v>3.58</v>
      </c>
      <c r="M140" s="22">
        <f t="shared" si="128"/>
        <v>4.4749999999999996</v>
      </c>
      <c r="N140" s="22">
        <f t="shared" si="129"/>
        <v>5.37</v>
      </c>
      <c r="O140" s="22">
        <f t="shared" si="130"/>
        <v>6.2650000000000006</v>
      </c>
      <c r="P140" s="30">
        <f t="shared" si="148"/>
        <v>10.74</v>
      </c>
      <c r="Q140" s="30">
        <f t="shared" si="140"/>
        <v>12.0825</v>
      </c>
      <c r="R140" s="30">
        <f t="shared" si="141"/>
        <v>12.753749999999998</v>
      </c>
      <c r="S140" s="30">
        <f t="shared" si="142"/>
        <v>12.529999999999998</v>
      </c>
      <c r="T140" s="30">
        <f t="shared" si="149"/>
        <v>13.424999999999999</v>
      </c>
      <c r="U140" s="30">
        <f t="shared" si="143"/>
        <v>17.899999999999999</v>
      </c>
      <c r="V140" s="30">
        <f t="shared" si="144"/>
        <v>35.799999999999997</v>
      </c>
      <c r="W140" s="22"/>
      <c r="X140" s="23">
        <f t="shared" si="131"/>
        <v>25060.000000000004</v>
      </c>
      <c r="Y140" s="23"/>
      <c r="Z140" s="23">
        <f t="shared" si="132"/>
        <v>42960</v>
      </c>
      <c r="AA140" s="23">
        <f t="shared" si="150"/>
        <v>53699.999999999993</v>
      </c>
      <c r="AB140" s="23">
        <f t="shared" si="150"/>
        <v>71600</v>
      </c>
      <c r="AE140" s="36">
        <f t="shared" si="133"/>
        <v>2.39</v>
      </c>
      <c r="AF140" s="37">
        <f t="shared" si="145"/>
        <v>2320.69</v>
      </c>
      <c r="AG140" s="28">
        <f t="shared" si="134"/>
        <v>10428.540000000001</v>
      </c>
      <c r="AH140" s="28">
        <f t="shared" si="151"/>
        <v>13035.674999999999</v>
      </c>
      <c r="AI140" s="28">
        <f t="shared" si="151"/>
        <v>17380.899999999998</v>
      </c>
      <c r="AJ140" s="28">
        <f t="shared" si="151"/>
        <v>34761.799999999996</v>
      </c>
      <c r="AK140" s="38"/>
      <c r="AL140" s="39">
        <v>2.39</v>
      </c>
      <c r="AM140" s="40">
        <f t="shared" si="146"/>
        <v>148.18</v>
      </c>
      <c r="AN140" s="28">
        <f t="shared" si="135"/>
        <v>665.88</v>
      </c>
      <c r="AO140" s="28">
        <f t="shared" si="152"/>
        <v>832.34999999999991</v>
      </c>
      <c r="AP140" s="28">
        <f t="shared" si="152"/>
        <v>1109.8</v>
      </c>
      <c r="AQ140" s="28">
        <f t="shared" si="152"/>
        <v>2219.6</v>
      </c>
      <c r="AS140" s="28">
        <f t="shared" si="136"/>
        <v>82.698000000000008</v>
      </c>
      <c r="AT140" s="28">
        <f t="shared" si="153"/>
        <v>103.37249999999999</v>
      </c>
      <c r="AU140" s="28">
        <f t="shared" si="153"/>
        <v>137.82999999999998</v>
      </c>
      <c r="AV140" s="28">
        <f t="shared" si="153"/>
        <v>275.65999999999997</v>
      </c>
      <c r="AX140" s="31">
        <f t="shared" si="137"/>
        <v>5370</v>
      </c>
      <c r="AY140" s="31">
        <f t="shared" si="154"/>
        <v>6712.4999999999991</v>
      </c>
      <c r="AZ140" s="31">
        <f t="shared" si="154"/>
        <v>8950</v>
      </c>
      <c r="BA140" s="31">
        <f t="shared" si="154"/>
        <v>17900</v>
      </c>
      <c r="BD140" s="55">
        <f t="shared" si="155"/>
        <v>46.316249999999997</v>
      </c>
      <c r="BE140" s="55">
        <f t="shared" si="156"/>
        <v>61.754999999999995</v>
      </c>
      <c r="BF140" s="55">
        <f t="shared" si="157"/>
        <v>123.50999999999999</v>
      </c>
      <c r="BI140" s="55">
        <f t="shared" si="158"/>
        <v>240.97874999999996</v>
      </c>
      <c r="BJ140" s="55">
        <f t="shared" si="159"/>
        <v>321.30499999999995</v>
      </c>
      <c r="BK140" s="55">
        <f t="shared" si="160"/>
        <v>642.6099999999999</v>
      </c>
      <c r="BN140" s="56">
        <f t="shared" si="161"/>
        <v>86604.674999999988</v>
      </c>
      <c r="BO140" s="56">
        <f t="shared" si="162"/>
        <v>115472.9</v>
      </c>
      <c r="BP140" s="56">
        <f t="shared" si="163"/>
        <v>230945.8</v>
      </c>
      <c r="BR140" s="54"/>
    </row>
    <row r="141" spans="1:70" x14ac:dyDescent="0.2">
      <c r="A141" s="14">
        <v>53540</v>
      </c>
      <c r="B141" s="53" t="s">
        <v>153</v>
      </c>
      <c r="C141" s="52" t="s">
        <v>15</v>
      </c>
      <c r="D141" s="52" t="s">
        <v>5</v>
      </c>
      <c r="E141" s="18"/>
      <c r="F141" s="19">
        <v>1.31</v>
      </c>
      <c r="G141" s="13"/>
      <c r="H141" s="11"/>
      <c r="I141" s="30">
        <f t="shared" si="147"/>
        <v>1.9900000000000002</v>
      </c>
      <c r="J141" s="22">
        <f t="shared" ref="J141:J149" si="164">F141+1.2</f>
        <v>2.5099999999999998</v>
      </c>
      <c r="K141" s="22">
        <f t="shared" ref="K141:K149" si="165">F141+1.87</f>
        <v>3.18</v>
      </c>
      <c r="L141" s="22">
        <f t="shared" ref="L141:L149" si="166">I141*2</f>
        <v>3.9800000000000004</v>
      </c>
      <c r="M141" s="22">
        <f t="shared" ref="M141:M149" si="167">I141*2.5</f>
        <v>4.9750000000000005</v>
      </c>
      <c r="N141" s="22">
        <f t="shared" ref="N141:N149" si="168">I141*3</f>
        <v>5.9700000000000006</v>
      </c>
      <c r="O141" s="22">
        <f t="shared" ref="O141:O149" si="169">I141*3.5</f>
        <v>6.9650000000000007</v>
      </c>
      <c r="P141" s="30">
        <f t="shared" ref="P141:P149" si="170">T141*0.8</f>
        <v>11.940000000000001</v>
      </c>
      <c r="Q141" s="30">
        <f t="shared" ref="Q141:Q149" si="171">T141*0.9</f>
        <v>13.432500000000001</v>
      </c>
      <c r="R141" s="30">
        <f t="shared" ref="R141:R149" si="172">T141*0.95</f>
        <v>14.178750000000001</v>
      </c>
      <c r="S141" s="30">
        <f t="shared" ref="S141:S149" si="173">U141*0.7</f>
        <v>13.930000000000001</v>
      </c>
      <c r="T141" s="30">
        <f t="shared" ref="T141:T149" si="174">U141*0.75</f>
        <v>14.925000000000001</v>
      </c>
      <c r="U141" s="30">
        <f t="shared" ref="U141:U149" si="175">I141*10</f>
        <v>19.900000000000002</v>
      </c>
      <c r="V141" s="30">
        <f t="shared" ref="V141:V149" si="176">I141*20</f>
        <v>39.800000000000004</v>
      </c>
      <c r="W141" s="22"/>
      <c r="X141" s="23">
        <f t="shared" ref="X141:X149" si="177">O141*4000</f>
        <v>27860.000000000004</v>
      </c>
      <c r="Y141" s="23"/>
      <c r="Z141" s="23">
        <f t="shared" ref="Z141:Z149" si="178">P141*4000</f>
        <v>47760.000000000007</v>
      </c>
      <c r="AA141" s="23">
        <f t="shared" ref="AA141:AA149" si="179">T141*4000</f>
        <v>59700</v>
      </c>
      <c r="AB141" s="23">
        <f t="shared" ref="AB141:AB149" si="180">U141*4000</f>
        <v>79600.000000000015</v>
      </c>
      <c r="AE141" s="36">
        <f t="shared" ref="AE141:AE149" si="181">I141+0.6</f>
        <v>2.5900000000000003</v>
      </c>
      <c r="AF141" s="37">
        <f t="shared" ref="AF141:AF149" si="182">AE141*971</f>
        <v>2514.8900000000003</v>
      </c>
      <c r="AG141" s="28">
        <f t="shared" ref="AG141:AG149" si="183">P141*971</f>
        <v>11593.740000000002</v>
      </c>
      <c r="AH141" s="28">
        <f t="shared" ref="AH141:AH149" si="184">T141*971</f>
        <v>14492.175000000001</v>
      </c>
      <c r="AI141" s="28">
        <f t="shared" ref="AI141:AI149" si="185">U141*971</f>
        <v>19322.900000000001</v>
      </c>
      <c r="AJ141" s="28">
        <f t="shared" ref="AJ141:AJ149" si="186">V141*971</f>
        <v>38645.800000000003</v>
      </c>
      <c r="AK141" s="38"/>
      <c r="AL141" s="39">
        <v>-6.7342857142857104</v>
      </c>
      <c r="AM141" s="40">
        <f t="shared" ref="AM141:AM149" si="187">AL141*62</f>
        <v>-417.52571428571406</v>
      </c>
      <c r="AN141" s="28">
        <f t="shared" ref="AN141:AN149" si="188">P141*62</f>
        <v>740.28000000000009</v>
      </c>
      <c r="AO141" s="28">
        <f t="shared" ref="AO141:AO149" si="189">T141*62</f>
        <v>925.35</v>
      </c>
      <c r="AP141" s="28">
        <f t="shared" ref="AP141:AP149" si="190">U141*62</f>
        <v>1233.8000000000002</v>
      </c>
      <c r="AQ141" s="28">
        <f t="shared" ref="AQ141:AQ149" si="191">V141*62</f>
        <v>2467.6000000000004</v>
      </c>
      <c r="AS141" s="28">
        <f t="shared" ref="AS141:AS149" si="192">P141*7.7</f>
        <v>91.938000000000017</v>
      </c>
      <c r="AT141" s="28">
        <f t="shared" ref="AT141:AT149" si="193">T141*7.7</f>
        <v>114.92250000000001</v>
      </c>
      <c r="AU141" s="28">
        <f t="shared" ref="AU141:AU149" si="194">U141*7.7</f>
        <v>153.23000000000002</v>
      </c>
      <c r="AV141" s="28">
        <f t="shared" ref="AV141:AV149" si="195">V141*7.7</f>
        <v>306.46000000000004</v>
      </c>
      <c r="AX141" s="31">
        <f t="shared" ref="AX141:AX149" si="196">P141*500</f>
        <v>5970.0000000000009</v>
      </c>
      <c r="AY141" s="31">
        <f t="shared" ref="AY141:AY149" si="197">T141*500</f>
        <v>7462.5</v>
      </c>
      <c r="AZ141" s="31">
        <f t="shared" ref="AZ141:AZ149" si="198">U141*500</f>
        <v>9950.0000000000018</v>
      </c>
      <c r="BA141" s="31">
        <f t="shared" ref="BA141:BA149" si="199">V141*500</f>
        <v>19900.000000000004</v>
      </c>
      <c r="BD141" s="55">
        <f t="shared" si="155"/>
        <v>51.491250000000008</v>
      </c>
      <c r="BE141" s="55">
        <f t="shared" si="156"/>
        <v>68.655000000000015</v>
      </c>
      <c r="BF141" s="55">
        <f t="shared" si="157"/>
        <v>137.31000000000003</v>
      </c>
      <c r="BI141" s="55">
        <f t="shared" si="158"/>
        <v>267.90375</v>
      </c>
      <c r="BJ141" s="55">
        <f t="shared" si="159"/>
        <v>357.20500000000004</v>
      </c>
      <c r="BK141" s="55">
        <f t="shared" si="160"/>
        <v>714.41000000000008</v>
      </c>
      <c r="BN141" s="56">
        <f t="shared" si="161"/>
        <v>96281.175000000003</v>
      </c>
      <c r="BO141" s="56">
        <f t="shared" si="162"/>
        <v>128374.90000000001</v>
      </c>
      <c r="BP141" s="56">
        <f t="shared" si="163"/>
        <v>256749.80000000002</v>
      </c>
      <c r="BR141" s="54"/>
    </row>
    <row r="142" spans="1:70" x14ac:dyDescent="0.2">
      <c r="A142" s="14">
        <v>53588</v>
      </c>
      <c r="B142" s="53" t="s">
        <v>211</v>
      </c>
      <c r="C142" s="34" t="s">
        <v>4</v>
      </c>
      <c r="D142" s="17" t="s">
        <v>20</v>
      </c>
      <c r="E142" s="18">
        <v>0.45714285714285702</v>
      </c>
      <c r="F142" s="19">
        <v>1.42</v>
      </c>
      <c r="G142" s="13" t="s">
        <v>7</v>
      </c>
      <c r="H142" s="11">
        <v>10</v>
      </c>
      <c r="I142" s="30">
        <f t="shared" si="147"/>
        <v>2.1</v>
      </c>
      <c r="J142" s="22">
        <f t="shared" si="164"/>
        <v>2.62</v>
      </c>
      <c r="K142" s="22">
        <f t="shared" si="165"/>
        <v>3.29</v>
      </c>
      <c r="L142" s="22">
        <f t="shared" si="166"/>
        <v>4.2</v>
      </c>
      <c r="M142" s="22">
        <f t="shared" si="167"/>
        <v>5.25</v>
      </c>
      <c r="N142" s="22">
        <f t="shared" si="168"/>
        <v>6.3000000000000007</v>
      </c>
      <c r="O142" s="22">
        <f t="shared" si="169"/>
        <v>7.3500000000000005</v>
      </c>
      <c r="P142" s="30">
        <f t="shared" si="170"/>
        <v>12.600000000000001</v>
      </c>
      <c r="Q142" s="30">
        <f t="shared" si="171"/>
        <v>14.175000000000001</v>
      </c>
      <c r="R142" s="30">
        <f t="shared" si="172"/>
        <v>14.962499999999999</v>
      </c>
      <c r="S142" s="30">
        <f t="shared" si="173"/>
        <v>14.7</v>
      </c>
      <c r="T142" s="30">
        <f t="shared" si="174"/>
        <v>15.75</v>
      </c>
      <c r="U142" s="30">
        <f t="shared" si="175"/>
        <v>21</v>
      </c>
      <c r="V142" s="30">
        <f t="shared" si="176"/>
        <v>42</v>
      </c>
      <c r="W142" s="22"/>
      <c r="X142" s="23">
        <f t="shared" si="177"/>
        <v>29400.000000000004</v>
      </c>
      <c r="Y142" s="23"/>
      <c r="Z142" s="23">
        <f t="shared" si="178"/>
        <v>50400.000000000007</v>
      </c>
      <c r="AA142" s="23">
        <f t="shared" si="179"/>
        <v>63000</v>
      </c>
      <c r="AB142" s="23">
        <f t="shared" si="180"/>
        <v>84000</v>
      </c>
      <c r="AE142" s="36">
        <f t="shared" si="181"/>
        <v>2.7</v>
      </c>
      <c r="AF142" s="37">
        <f t="shared" si="182"/>
        <v>2621.7000000000003</v>
      </c>
      <c r="AG142" s="28">
        <f t="shared" si="183"/>
        <v>12234.600000000002</v>
      </c>
      <c r="AH142" s="28">
        <f t="shared" si="184"/>
        <v>15293.25</v>
      </c>
      <c r="AI142" s="28">
        <f t="shared" si="185"/>
        <v>20391</v>
      </c>
      <c r="AJ142" s="28">
        <f t="shared" si="186"/>
        <v>40782</v>
      </c>
      <c r="AK142" s="38"/>
      <c r="AL142" s="39">
        <v>-5.7342857142857104</v>
      </c>
      <c r="AM142" s="40">
        <f t="shared" si="187"/>
        <v>-355.52571428571406</v>
      </c>
      <c r="AN142" s="28">
        <f t="shared" si="188"/>
        <v>781.2</v>
      </c>
      <c r="AO142" s="28">
        <f t="shared" si="189"/>
        <v>976.5</v>
      </c>
      <c r="AP142" s="28">
        <f t="shared" si="190"/>
        <v>1302</v>
      </c>
      <c r="AQ142" s="28">
        <f t="shared" si="191"/>
        <v>2604</v>
      </c>
      <c r="AS142" s="28">
        <f t="shared" si="192"/>
        <v>97.02000000000001</v>
      </c>
      <c r="AT142" s="28">
        <f t="shared" si="193"/>
        <v>121.27500000000001</v>
      </c>
      <c r="AU142" s="28">
        <f t="shared" si="194"/>
        <v>161.70000000000002</v>
      </c>
      <c r="AV142" s="28">
        <f t="shared" si="195"/>
        <v>323.40000000000003</v>
      </c>
      <c r="AX142" s="31">
        <f t="shared" si="196"/>
        <v>6300.0000000000009</v>
      </c>
      <c r="AY142" s="31">
        <f t="shared" si="197"/>
        <v>7875</v>
      </c>
      <c r="AZ142" s="31">
        <f t="shared" si="198"/>
        <v>10500</v>
      </c>
      <c r="BA142" s="31">
        <f t="shared" si="199"/>
        <v>21000</v>
      </c>
      <c r="BD142" s="55">
        <f t="shared" si="155"/>
        <v>54.337500000000006</v>
      </c>
      <c r="BE142" s="55">
        <f t="shared" si="156"/>
        <v>72.45</v>
      </c>
      <c r="BF142" s="55">
        <f t="shared" si="157"/>
        <v>144.9</v>
      </c>
      <c r="BI142" s="55">
        <f t="shared" si="158"/>
        <v>282.71249999999998</v>
      </c>
      <c r="BJ142" s="55">
        <f t="shared" si="159"/>
        <v>376.95</v>
      </c>
      <c r="BK142" s="55">
        <f t="shared" si="160"/>
        <v>753.9</v>
      </c>
      <c r="BN142" s="56">
        <f t="shared" si="161"/>
        <v>101603.25</v>
      </c>
      <c r="BO142" s="56">
        <f t="shared" si="162"/>
        <v>135471</v>
      </c>
      <c r="BP142" s="56">
        <f t="shared" si="163"/>
        <v>270942</v>
      </c>
      <c r="BR142" s="54"/>
    </row>
    <row r="143" spans="1:70" x14ac:dyDescent="0.2">
      <c r="A143" s="14">
        <v>53596</v>
      </c>
      <c r="B143" s="53" t="s">
        <v>212</v>
      </c>
      <c r="C143" s="34" t="s">
        <v>15</v>
      </c>
      <c r="D143" s="17" t="s">
        <v>5</v>
      </c>
      <c r="E143" s="18">
        <v>0.57142857142857095</v>
      </c>
      <c r="F143" s="19">
        <v>1.58</v>
      </c>
      <c r="G143" s="13" t="s">
        <v>7</v>
      </c>
      <c r="H143" s="17">
        <v>20</v>
      </c>
      <c r="I143" s="30">
        <f t="shared" si="147"/>
        <v>2.2600000000000002</v>
      </c>
      <c r="J143" s="22">
        <f t="shared" si="164"/>
        <v>2.7800000000000002</v>
      </c>
      <c r="K143" s="22">
        <f t="shared" si="165"/>
        <v>3.45</v>
      </c>
      <c r="L143" s="22">
        <f t="shared" si="166"/>
        <v>4.5200000000000005</v>
      </c>
      <c r="M143" s="22">
        <f t="shared" si="167"/>
        <v>5.65</v>
      </c>
      <c r="N143" s="22">
        <f t="shared" si="168"/>
        <v>6.7800000000000011</v>
      </c>
      <c r="O143" s="22">
        <f t="shared" si="169"/>
        <v>7.910000000000001</v>
      </c>
      <c r="P143" s="30">
        <f t="shared" si="170"/>
        <v>13.560000000000002</v>
      </c>
      <c r="Q143" s="30">
        <f t="shared" si="171"/>
        <v>15.255000000000003</v>
      </c>
      <c r="R143" s="30">
        <f t="shared" si="172"/>
        <v>16.102500000000003</v>
      </c>
      <c r="S143" s="30">
        <f t="shared" si="173"/>
        <v>15.82</v>
      </c>
      <c r="T143" s="30">
        <f t="shared" si="174"/>
        <v>16.950000000000003</v>
      </c>
      <c r="U143" s="30">
        <f t="shared" si="175"/>
        <v>22.6</v>
      </c>
      <c r="V143" s="30">
        <f t="shared" si="176"/>
        <v>45.2</v>
      </c>
      <c r="W143" s="22"/>
      <c r="X143" s="23">
        <f t="shared" si="177"/>
        <v>31640.000000000004</v>
      </c>
      <c r="Y143" s="23"/>
      <c r="Z143" s="23">
        <f t="shared" si="178"/>
        <v>54240.000000000007</v>
      </c>
      <c r="AA143" s="23">
        <f t="shared" si="179"/>
        <v>67800.000000000015</v>
      </c>
      <c r="AB143" s="23">
        <f t="shared" si="180"/>
        <v>90400</v>
      </c>
      <c r="AE143" s="36">
        <f t="shared" si="181"/>
        <v>2.8600000000000003</v>
      </c>
      <c r="AF143" s="37">
        <f t="shared" si="182"/>
        <v>2777.0600000000004</v>
      </c>
      <c r="AG143" s="28">
        <f t="shared" si="183"/>
        <v>13166.760000000002</v>
      </c>
      <c r="AH143" s="28">
        <f t="shared" si="184"/>
        <v>16458.450000000004</v>
      </c>
      <c r="AI143" s="28">
        <f t="shared" si="185"/>
        <v>21944.600000000002</v>
      </c>
      <c r="AJ143" s="28">
        <f t="shared" si="186"/>
        <v>43889.200000000004</v>
      </c>
      <c r="AK143" s="38"/>
      <c r="AL143" s="39">
        <v>-4.7342857142857104</v>
      </c>
      <c r="AM143" s="40">
        <f t="shared" si="187"/>
        <v>-293.52571428571406</v>
      </c>
      <c r="AN143" s="28">
        <f t="shared" si="188"/>
        <v>840.72000000000014</v>
      </c>
      <c r="AO143" s="28">
        <f t="shared" si="189"/>
        <v>1050.9000000000001</v>
      </c>
      <c r="AP143" s="28">
        <f t="shared" si="190"/>
        <v>1401.2</v>
      </c>
      <c r="AQ143" s="28">
        <f t="shared" si="191"/>
        <v>2802.4</v>
      </c>
      <c r="AS143" s="28">
        <f t="shared" si="192"/>
        <v>104.41200000000002</v>
      </c>
      <c r="AT143" s="28">
        <f t="shared" si="193"/>
        <v>130.51500000000001</v>
      </c>
      <c r="AU143" s="28">
        <f t="shared" si="194"/>
        <v>174.02</v>
      </c>
      <c r="AV143" s="28">
        <f t="shared" si="195"/>
        <v>348.04</v>
      </c>
      <c r="AX143" s="31">
        <f t="shared" si="196"/>
        <v>6780.0000000000009</v>
      </c>
      <c r="AY143" s="31">
        <f t="shared" si="197"/>
        <v>8475.0000000000018</v>
      </c>
      <c r="AZ143" s="31">
        <f t="shared" si="198"/>
        <v>11300</v>
      </c>
      <c r="BA143" s="31">
        <f t="shared" si="199"/>
        <v>22600</v>
      </c>
      <c r="BD143" s="55">
        <f t="shared" si="155"/>
        <v>58.477500000000013</v>
      </c>
      <c r="BE143" s="55">
        <f t="shared" si="156"/>
        <v>77.970000000000013</v>
      </c>
      <c r="BF143" s="55">
        <f t="shared" si="157"/>
        <v>155.94000000000003</v>
      </c>
      <c r="BI143" s="55">
        <f t="shared" si="158"/>
        <v>304.25250000000005</v>
      </c>
      <c r="BJ143" s="55">
        <f t="shared" si="159"/>
        <v>405.67</v>
      </c>
      <c r="BK143" s="55">
        <f t="shared" si="160"/>
        <v>811.34</v>
      </c>
      <c r="BN143" s="56">
        <f t="shared" si="161"/>
        <v>109344.45000000001</v>
      </c>
      <c r="BO143" s="56">
        <f t="shared" si="162"/>
        <v>145792.6</v>
      </c>
      <c r="BP143" s="56">
        <f t="shared" si="163"/>
        <v>291585.2</v>
      </c>
      <c r="BR143" s="54"/>
    </row>
    <row r="144" spans="1:70" x14ac:dyDescent="0.2">
      <c r="A144" s="14">
        <v>53616</v>
      </c>
      <c r="B144" s="51" t="s">
        <v>213</v>
      </c>
      <c r="C144" s="17" t="s">
        <v>11</v>
      </c>
      <c r="D144" s="17" t="s">
        <v>20</v>
      </c>
      <c r="E144" s="18">
        <v>0.372857142857143</v>
      </c>
      <c r="F144" s="25">
        <v>0.80142857142857105</v>
      </c>
      <c r="G144" s="17"/>
      <c r="H144" s="17">
        <v>10</v>
      </c>
      <c r="I144" s="30">
        <f t="shared" si="147"/>
        <v>1.4814285714285711</v>
      </c>
      <c r="J144" s="22">
        <f t="shared" si="164"/>
        <v>2.0014285714285709</v>
      </c>
      <c r="K144" s="22">
        <f t="shared" si="165"/>
        <v>2.6714285714285713</v>
      </c>
      <c r="L144" s="22">
        <f t="shared" si="166"/>
        <v>2.9628571428571422</v>
      </c>
      <c r="M144" s="22">
        <f t="shared" si="167"/>
        <v>3.7035714285714278</v>
      </c>
      <c r="N144" s="22">
        <f t="shared" si="168"/>
        <v>4.4442857142857131</v>
      </c>
      <c r="O144" s="22">
        <f t="shared" si="169"/>
        <v>5.1849999999999987</v>
      </c>
      <c r="P144" s="30">
        <f t="shared" si="170"/>
        <v>8.8885714285714279</v>
      </c>
      <c r="Q144" s="30">
        <f t="shared" si="171"/>
        <v>9.9996428571428559</v>
      </c>
      <c r="R144" s="30">
        <f t="shared" si="172"/>
        <v>10.55517857142857</v>
      </c>
      <c r="S144" s="30">
        <f t="shared" si="173"/>
        <v>10.369999999999997</v>
      </c>
      <c r="T144" s="30">
        <f t="shared" si="174"/>
        <v>11.110714285714284</v>
      </c>
      <c r="U144" s="30">
        <f t="shared" si="175"/>
        <v>14.814285714285711</v>
      </c>
      <c r="V144" s="30">
        <f t="shared" si="176"/>
        <v>29.628571428571423</v>
      </c>
      <c r="W144" s="22"/>
      <c r="X144" s="23">
        <f t="shared" si="177"/>
        <v>20739.999999999996</v>
      </c>
      <c r="Y144" s="23"/>
      <c r="Z144" s="23">
        <f t="shared" si="178"/>
        <v>35554.28571428571</v>
      </c>
      <c r="AA144" s="23">
        <f t="shared" si="179"/>
        <v>44442.857142857138</v>
      </c>
      <c r="AB144" s="23">
        <f t="shared" si="180"/>
        <v>59257.142857142848</v>
      </c>
      <c r="AE144" s="36">
        <f t="shared" si="181"/>
        <v>2.081428571428571</v>
      </c>
      <c r="AF144" s="37">
        <f t="shared" si="182"/>
        <v>2021.0671428571425</v>
      </c>
      <c r="AG144" s="28">
        <f t="shared" si="183"/>
        <v>8630.8028571428567</v>
      </c>
      <c r="AH144" s="28">
        <f t="shared" si="184"/>
        <v>10788.50357142857</v>
      </c>
      <c r="AI144" s="28">
        <f t="shared" si="185"/>
        <v>14384.671428571426</v>
      </c>
      <c r="AJ144" s="28">
        <f t="shared" si="186"/>
        <v>28769.342857142852</v>
      </c>
      <c r="AK144" s="38"/>
      <c r="AL144" s="39">
        <v>-3.73428571428571</v>
      </c>
      <c r="AM144" s="40">
        <f t="shared" si="187"/>
        <v>-231.52571428571403</v>
      </c>
      <c r="AN144" s="28">
        <f t="shared" si="188"/>
        <v>551.09142857142854</v>
      </c>
      <c r="AO144" s="28">
        <f t="shared" si="189"/>
        <v>688.86428571428564</v>
      </c>
      <c r="AP144" s="28">
        <f t="shared" si="190"/>
        <v>918.48571428571415</v>
      </c>
      <c r="AQ144" s="28">
        <f t="shared" si="191"/>
        <v>1836.9714285714283</v>
      </c>
      <c r="AS144" s="28">
        <f t="shared" si="192"/>
        <v>68.441999999999993</v>
      </c>
      <c r="AT144" s="28">
        <f t="shared" si="193"/>
        <v>85.552499999999995</v>
      </c>
      <c r="AU144" s="28">
        <f t="shared" si="194"/>
        <v>114.06999999999998</v>
      </c>
      <c r="AV144" s="28">
        <f t="shared" si="195"/>
        <v>228.13999999999996</v>
      </c>
      <c r="AX144" s="31">
        <f t="shared" si="196"/>
        <v>4444.2857142857138</v>
      </c>
      <c r="AY144" s="31">
        <f t="shared" si="197"/>
        <v>5555.3571428571422</v>
      </c>
      <c r="AZ144" s="31">
        <f t="shared" si="198"/>
        <v>7407.142857142856</v>
      </c>
      <c r="BA144" s="31">
        <f t="shared" si="199"/>
        <v>14814.285714285712</v>
      </c>
      <c r="BD144" s="55">
        <f t="shared" si="155"/>
        <v>38.331964285714285</v>
      </c>
      <c r="BE144" s="55">
        <f t="shared" si="156"/>
        <v>51.109285714285704</v>
      </c>
      <c r="BF144" s="55">
        <f t="shared" si="157"/>
        <v>102.21857142857141</v>
      </c>
      <c r="BI144" s="55">
        <f t="shared" si="158"/>
        <v>199.43732142857138</v>
      </c>
      <c r="BJ144" s="55">
        <f t="shared" si="159"/>
        <v>265.91642857142853</v>
      </c>
      <c r="BK144" s="55">
        <f t="shared" si="160"/>
        <v>531.83285714285705</v>
      </c>
      <c r="BN144" s="56">
        <f t="shared" si="161"/>
        <v>71675.217857142852</v>
      </c>
      <c r="BO144" s="56">
        <f t="shared" si="162"/>
        <v>95566.957142857122</v>
      </c>
      <c r="BP144" s="56">
        <f t="shared" si="163"/>
        <v>191133.91428571424</v>
      </c>
      <c r="BR144" s="54"/>
    </row>
    <row r="145" spans="1:70" x14ac:dyDescent="0.2">
      <c r="A145" s="14">
        <v>53620</v>
      </c>
      <c r="B145" s="51" t="s">
        <v>214</v>
      </c>
      <c r="C145" s="17" t="s">
        <v>11</v>
      </c>
      <c r="D145" s="17" t="s">
        <v>5</v>
      </c>
      <c r="E145" s="18">
        <v>0.39142857142857101</v>
      </c>
      <c r="F145" s="25">
        <v>0.82</v>
      </c>
      <c r="G145" s="17"/>
      <c r="H145" s="17">
        <v>20</v>
      </c>
      <c r="I145" s="30">
        <f t="shared" si="147"/>
        <v>1.5</v>
      </c>
      <c r="J145" s="22">
        <f t="shared" si="164"/>
        <v>2.02</v>
      </c>
      <c r="K145" s="22">
        <f t="shared" si="165"/>
        <v>2.69</v>
      </c>
      <c r="L145" s="22">
        <f t="shared" si="166"/>
        <v>3</v>
      </c>
      <c r="M145" s="22">
        <f t="shared" si="167"/>
        <v>3.75</v>
      </c>
      <c r="N145" s="22">
        <f t="shared" si="168"/>
        <v>4.5</v>
      </c>
      <c r="O145" s="22">
        <f t="shared" si="169"/>
        <v>5.25</v>
      </c>
      <c r="P145" s="30">
        <f t="shared" si="170"/>
        <v>9</v>
      </c>
      <c r="Q145" s="30">
        <f t="shared" si="171"/>
        <v>10.125</v>
      </c>
      <c r="R145" s="30">
        <f t="shared" si="172"/>
        <v>10.6875</v>
      </c>
      <c r="S145" s="30">
        <f t="shared" si="173"/>
        <v>10.5</v>
      </c>
      <c r="T145" s="30">
        <f t="shared" si="174"/>
        <v>11.25</v>
      </c>
      <c r="U145" s="30">
        <f t="shared" si="175"/>
        <v>15</v>
      </c>
      <c r="V145" s="30">
        <f t="shared" si="176"/>
        <v>30</v>
      </c>
      <c r="W145" s="22"/>
      <c r="X145" s="23">
        <f t="shared" si="177"/>
        <v>21000</v>
      </c>
      <c r="Y145" s="23"/>
      <c r="Z145" s="23">
        <f t="shared" si="178"/>
        <v>36000</v>
      </c>
      <c r="AA145" s="23">
        <f t="shared" si="179"/>
        <v>45000</v>
      </c>
      <c r="AB145" s="23">
        <f t="shared" si="180"/>
        <v>60000</v>
      </c>
      <c r="AE145" s="36">
        <f t="shared" si="181"/>
        <v>2.1</v>
      </c>
      <c r="AF145" s="37">
        <f t="shared" si="182"/>
        <v>2039.1000000000001</v>
      </c>
      <c r="AG145" s="28">
        <f t="shared" si="183"/>
        <v>8739</v>
      </c>
      <c r="AH145" s="28">
        <f t="shared" si="184"/>
        <v>10923.75</v>
      </c>
      <c r="AI145" s="28">
        <f t="shared" si="185"/>
        <v>14565</v>
      </c>
      <c r="AJ145" s="28">
        <f t="shared" si="186"/>
        <v>29130</v>
      </c>
      <c r="AK145" s="38"/>
      <c r="AL145" s="39">
        <v>-2.73428571428571</v>
      </c>
      <c r="AM145" s="40">
        <f t="shared" si="187"/>
        <v>-169.52571428571403</v>
      </c>
      <c r="AN145" s="28">
        <f t="shared" si="188"/>
        <v>558</v>
      </c>
      <c r="AO145" s="28">
        <f t="shared" si="189"/>
        <v>697.5</v>
      </c>
      <c r="AP145" s="28">
        <f t="shared" si="190"/>
        <v>930</v>
      </c>
      <c r="AQ145" s="28">
        <f t="shared" si="191"/>
        <v>1860</v>
      </c>
      <c r="AS145" s="28">
        <f t="shared" si="192"/>
        <v>69.3</v>
      </c>
      <c r="AT145" s="28">
        <f t="shared" si="193"/>
        <v>86.625</v>
      </c>
      <c r="AU145" s="28">
        <f t="shared" si="194"/>
        <v>115.5</v>
      </c>
      <c r="AV145" s="28">
        <f t="shared" si="195"/>
        <v>231</v>
      </c>
      <c r="AX145" s="31">
        <f t="shared" si="196"/>
        <v>4500</v>
      </c>
      <c r="AY145" s="31">
        <f t="shared" si="197"/>
        <v>5625</v>
      </c>
      <c r="AZ145" s="31">
        <f t="shared" si="198"/>
        <v>7500</v>
      </c>
      <c r="BA145" s="31">
        <f t="shared" si="199"/>
        <v>15000</v>
      </c>
      <c r="BD145" s="55">
        <f t="shared" si="155"/>
        <v>38.8125</v>
      </c>
      <c r="BE145" s="55">
        <f t="shared" si="156"/>
        <v>51.75</v>
      </c>
      <c r="BF145" s="55">
        <f t="shared" si="157"/>
        <v>103.5</v>
      </c>
      <c r="BI145" s="55">
        <f t="shared" si="158"/>
        <v>201.9375</v>
      </c>
      <c r="BJ145" s="55">
        <f t="shared" si="159"/>
        <v>269.25</v>
      </c>
      <c r="BK145" s="55">
        <f t="shared" si="160"/>
        <v>538.5</v>
      </c>
      <c r="BN145" s="56">
        <f t="shared" si="161"/>
        <v>72573.75</v>
      </c>
      <c r="BO145" s="56">
        <f t="shared" si="162"/>
        <v>96765</v>
      </c>
      <c r="BP145" s="56">
        <f t="shared" si="163"/>
        <v>193530</v>
      </c>
      <c r="BR145" s="54"/>
    </row>
    <row r="146" spans="1:70" x14ac:dyDescent="0.2">
      <c r="A146" s="14">
        <v>53702</v>
      </c>
      <c r="B146" s="51" t="s">
        <v>215</v>
      </c>
      <c r="C146" s="52" t="s">
        <v>36</v>
      </c>
      <c r="D146" s="52" t="s">
        <v>20</v>
      </c>
      <c r="E146" s="18"/>
      <c r="F146" s="25">
        <v>0.79</v>
      </c>
      <c r="G146" s="17"/>
      <c r="H146" s="17"/>
      <c r="I146" s="30">
        <f t="shared" si="147"/>
        <v>1.4700000000000002</v>
      </c>
      <c r="J146" s="22">
        <f t="shared" si="164"/>
        <v>1.99</v>
      </c>
      <c r="K146" s="22">
        <f t="shared" si="165"/>
        <v>2.66</v>
      </c>
      <c r="L146" s="22">
        <f t="shared" si="166"/>
        <v>2.9400000000000004</v>
      </c>
      <c r="M146" s="22">
        <f t="shared" si="167"/>
        <v>3.6750000000000007</v>
      </c>
      <c r="N146" s="22">
        <f t="shared" si="168"/>
        <v>4.41</v>
      </c>
      <c r="O146" s="22">
        <f t="shared" si="169"/>
        <v>5.1450000000000005</v>
      </c>
      <c r="P146" s="30">
        <f t="shared" si="170"/>
        <v>8.8200000000000021</v>
      </c>
      <c r="Q146" s="30">
        <f t="shared" si="171"/>
        <v>9.922500000000003</v>
      </c>
      <c r="R146" s="30">
        <f t="shared" si="172"/>
        <v>10.473750000000001</v>
      </c>
      <c r="S146" s="30">
        <f t="shared" si="173"/>
        <v>10.290000000000001</v>
      </c>
      <c r="T146" s="30">
        <f t="shared" si="174"/>
        <v>11.025000000000002</v>
      </c>
      <c r="U146" s="30">
        <f t="shared" si="175"/>
        <v>14.700000000000003</v>
      </c>
      <c r="V146" s="30">
        <f t="shared" si="176"/>
        <v>29.400000000000006</v>
      </c>
      <c r="W146" s="22"/>
      <c r="X146" s="23">
        <f t="shared" si="177"/>
        <v>20580.000000000004</v>
      </c>
      <c r="Y146" s="23"/>
      <c r="Z146" s="23">
        <f t="shared" si="178"/>
        <v>35280.000000000007</v>
      </c>
      <c r="AA146" s="23">
        <f t="shared" si="179"/>
        <v>44100.000000000007</v>
      </c>
      <c r="AB146" s="23">
        <f t="shared" si="180"/>
        <v>58800.000000000015</v>
      </c>
      <c r="AE146" s="36">
        <f t="shared" si="181"/>
        <v>2.0700000000000003</v>
      </c>
      <c r="AF146" s="37">
        <f t="shared" si="182"/>
        <v>2009.9700000000003</v>
      </c>
      <c r="AG146" s="28">
        <f t="shared" si="183"/>
        <v>8564.2200000000012</v>
      </c>
      <c r="AH146" s="28">
        <f t="shared" si="184"/>
        <v>10705.275000000001</v>
      </c>
      <c r="AI146" s="28">
        <f t="shared" si="185"/>
        <v>14273.700000000003</v>
      </c>
      <c r="AJ146" s="28">
        <f t="shared" si="186"/>
        <v>28547.400000000005</v>
      </c>
      <c r="AK146" s="38"/>
      <c r="AL146" s="39">
        <v>-1.73428571428571</v>
      </c>
      <c r="AM146" s="40">
        <f t="shared" si="187"/>
        <v>-107.52571428571402</v>
      </c>
      <c r="AN146" s="28">
        <f t="shared" si="188"/>
        <v>546.84000000000015</v>
      </c>
      <c r="AO146" s="28">
        <f t="shared" si="189"/>
        <v>683.55000000000018</v>
      </c>
      <c r="AP146" s="28">
        <f t="shared" si="190"/>
        <v>911.4000000000002</v>
      </c>
      <c r="AQ146" s="28">
        <f t="shared" si="191"/>
        <v>1822.8000000000004</v>
      </c>
      <c r="AS146" s="28">
        <f t="shared" si="192"/>
        <v>67.914000000000016</v>
      </c>
      <c r="AT146" s="28">
        <f t="shared" si="193"/>
        <v>84.892500000000013</v>
      </c>
      <c r="AU146" s="28">
        <f t="shared" si="194"/>
        <v>113.19000000000003</v>
      </c>
      <c r="AV146" s="28">
        <f t="shared" si="195"/>
        <v>226.38000000000005</v>
      </c>
      <c r="AX146" s="31">
        <f t="shared" si="196"/>
        <v>4410.0000000000009</v>
      </c>
      <c r="AY146" s="31">
        <f t="shared" si="197"/>
        <v>5512.5000000000009</v>
      </c>
      <c r="AZ146" s="31">
        <f t="shared" si="198"/>
        <v>7350.0000000000018</v>
      </c>
      <c r="BA146" s="31">
        <f t="shared" si="199"/>
        <v>14700.000000000004</v>
      </c>
      <c r="BD146" s="55">
        <f t="shared" si="155"/>
        <v>38.03625000000001</v>
      </c>
      <c r="BE146" s="55">
        <f t="shared" si="156"/>
        <v>50.715000000000011</v>
      </c>
      <c r="BF146" s="55">
        <f t="shared" si="157"/>
        <v>101.43000000000002</v>
      </c>
      <c r="BI146" s="55">
        <f t="shared" si="158"/>
        <v>197.89875000000004</v>
      </c>
      <c r="BJ146" s="55">
        <f t="shared" si="159"/>
        <v>263.86500000000007</v>
      </c>
      <c r="BK146" s="55">
        <f t="shared" si="160"/>
        <v>527.73000000000013</v>
      </c>
      <c r="BN146" s="56">
        <f t="shared" si="161"/>
        <v>71122.275000000009</v>
      </c>
      <c r="BO146" s="56">
        <f t="shared" si="162"/>
        <v>94829.700000000012</v>
      </c>
      <c r="BP146" s="56">
        <f t="shared" si="163"/>
        <v>189659.40000000002</v>
      </c>
      <c r="BR146" s="54"/>
    </row>
    <row r="147" spans="1:70" x14ac:dyDescent="0.2">
      <c r="A147" s="14">
        <v>53727</v>
      </c>
      <c r="B147" s="51" t="s">
        <v>216</v>
      </c>
      <c r="C147" s="17" t="s">
        <v>22</v>
      </c>
      <c r="D147" s="17" t="s">
        <v>5</v>
      </c>
      <c r="E147" s="18">
        <v>0.56000000000000005</v>
      </c>
      <c r="F147" s="25">
        <v>1.1314285714285699</v>
      </c>
      <c r="G147" s="17"/>
      <c r="H147" s="11">
        <v>10</v>
      </c>
      <c r="I147" s="30">
        <f t="shared" si="147"/>
        <v>1.8114285714285701</v>
      </c>
      <c r="J147" s="22">
        <f t="shared" si="164"/>
        <v>2.3314285714285701</v>
      </c>
      <c r="K147" s="22">
        <f t="shared" si="165"/>
        <v>3.00142857142857</v>
      </c>
      <c r="L147" s="22">
        <f t="shared" si="166"/>
        <v>3.6228571428571401</v>
      </c>
      <c r="M147" s="22">
        <f t="shared" si="167"/>
        <v>4.5285714285714249</v>
      </c>
      <c r="N147" s="22">
        <f t="shared" si="168"/>
        <v>5.4342857142857106</v>
      </c>
      <c r="O147" s="22">
        <f t="shared" si="169"/>
        <v>6.3399999999999954</v>
      </c>
      <c r="P147" s="30">
        <f t="shared" si="170"/>
        <v>10.868571428571421</v>
      </c>
      <c r="Q147" s="30">
        <f t="shared" si="171"/>
        <v>12.227142857142848</v>
      </c>
      <c r="R147" s="30">
        <f t="shared" si="172"/>
        <v>12.90642857142856</v>
      </c>
      <c r="S147" s="30">
        <f t="shared" si="173"/>
        <v>12.679999999999989</v>
      </c>
      <c r="T147" s="30">
        <f t="shared" si="174"/>
        <v>13.585714285714275</v>
      </c>
      <c r="U147" s="30">
        <f t="shared" si="175"/>
        <v>18.1142857142857</v>
      </c>
      <c r="V147" s="30">
        <f t="shared" si="176"/>
        <v>36.228571428571399</v>
      </c>
      <c r="W147" s="22"/>
      <c r="X147" s="23">
        <f t="shared" si="177"/>
        <v>25359.999999999982</v>
      </c>
      <c r="Y147" s="23"/>
      <c r="Z147" s="23">
        <f t="shared" si="178"/>
        <v>43474.285714285688</v>
      </c>
      <c r="AA147" s="23">
        <f t="shared" si="179"/>
        <v>54342.857142857101</v>
      </c>
      <c r="AB147" s="23">
        <f t="shared" si="180"/>
        <v>72457.142857142797</v>
      </c>
      <c r="AE147" s="36">
        <f t="shared" si="181"/>
        <v>2.4114285714285701</v>
      </c>
      <c r="AF147" s="37">
        <f t="shared" si="182"/>
        <v>2341.4971428571416</v>
      </c>
      <c r="AG147" s="28">
        <f t="shared" si="183"/>
        <v>10553.382857142849</v>
      </c>
      <c r="AH147" s="28">
        <f t="shared" si="184"/>
        <v>13191.728571428561</v>
      </c>
      <c r="AI147" s="28">
        <f t="shared" si="185"/>
        <v>17588.971428571414</v>
      </c>
      <c r="AJ147" s="28">
        <f t="shared" si="186"/>
        <v>35177.942857142829</v>
      </c>
      <c r="AK147" s="38"/>
      <c r="AL147" s="39">
        <v>-0.73428571428571399</v>
      </c>
      <c r="AM147" s="40">
        <f t="shared" si="187"/>
        <v>-45.525714285714265</v>
      </c>
      <c r="AN147" s="28">
        <f t="shared" si="188"/>
        <v>673.85142857142807</v>
      </c>
      <c r="AO147" s="28">
        <f t="shared" si="189"/>
        <v>842.31428571428501</v>
      </c>
      <c r="AP147" s="28">
        <f t="shared" si="190"/>
        <v>1123.0857142857135</v>
      </c>
      <c r="AQ147" s="28">
        <f t="shared" si="191"/>
        <v>2246.171428571427</v>
      </c>
      <c r="AS147" s="28">
        <f t="shared" si="192"/>
        <v>83.687999999999946</v>
      </c>
      <c r="AT147" s="28">
        <f t="shared" si="193"/>
        <v>104.60999999999991</v>
      </c>
      <c r="AU147" s="28">
        <f t="shared" si="194"/>
        <v>139.4799999999999</v>
      </c>
      <c r="AV147" s="28">
        <f t="shared" si="195"/>
        <v>278.95999999999981</v>
      </c>
      <c r="AX147" s="31">
        <f t="shared" si="196"/>
        <v>5434.285714285711</v>
      </c>
      <c r="AY147" s="31">
        <f t="shared" si="197"/>
        <v>6792.8571428571377</v>
      </c>
      <c r="AZ147" s="31">
        <f t="shared" si="198"/>
        <v>9057.1428571428496</v>
      </c>
      <c r="BA147" s="31">
        <f t="shared" si="199"/>
        <v>18114.285714285699</v>
      </c>
      <c r="BD147" s="55">
        <f t="shared" si="155"/>
        <v>46.87071428571425</v>
      </c>
      <c r="BE147" s="55">
        <f t="shared" si="156"/>
        <v>62.494285714285667</v>
      </c>
      <c r="BF147" s="55">
        <f t="shared" si="157"/>
        <v>124.98857142857133</v>
      </c>
      <c r="BI147" s="55">
        <f t="shared" si="158"/>
        <v>243.86357142857122</v>
      </c>
      <c r="BJ147" s="55">
        <f t="shared" si="159"/>
        <v>325.15142857142831</v>
      </c>
      <c r="BK147" s="55">
        <f t="shared" si="160"/>
        <v>650.30285714285662</v>
      </c>
      <c r="BN147" s="56">
        <f t="shared" si="161"/>
        <v>87641.442857142785</v>
      </c>
      <c r="BO147" s="56">
        <f t="shared" si="162"/>
        <v>116855.25714285705</v>
      </c>
      <c r="BP147" s="56">
        <f t="shared" si="163"/>
        <v>233710.5142857141</v>
      </c>
      <c r="BR147" s="54"/>
    </row>
    <row r="148" spans="1:70" x14ac:dyDescent="0.2">
      <c r="A148" s="14">
        <v>53859</v>
      </c>
      <c r="B148" s="51" t="s">
        <v>149</v>
      </c>
      <c r="C148" s="52" t="s">
        <v>19</v>
      </c>
      <c r="D148" s="52" t="s">
        <v>20</v>
      </c>
      <c r="E148" s="18"/>
      <c r="F148" s="25">
        <v>0.8</v>
      </c>
      <c r="G148" s="17"/>
      <c r="H148" s="11"/>
      <c r="I148" s="30">
        <f t="shared" si="147"/>
        <v>1.48</v>
      </c>
      <c r="J148" s="22">
        <f t="shared" si="164"/>
        <v>2</v>
      </c>
      <c r="K148" s="22">
        <f t="shared" si="165"/>
        <v>2.67</v>
      </c>
      <c r="L148" s="22">
        <f t="shared" si="166"/>
        <v>2.96</v>
      </c>
      <c r="M148" s="22">
        <f t="shared" si="167"/>
        <v>3.7</v>
      </c>
      <c r="N148" s="22">
        <f t="shared" si="168"/>
        <v>4.4399999999999995</v>
      </c>
      <c r="O148" s="22">
        <f t="shared" si="169"/>
        <v>5.18</v>
      </c>
      <c r="P148" s="30">
        <f t="shared" si="170"/>
        <v>8.8800000000000008</v>
      </c>
      <c r="Q148" s="30">
        <f t="shared" si="171"/>
        <v>9.990000000000002</v>
      </c>
      <c r="R148" s="30">
        <f t="shared" si="172"/>
        <v>10.545000000000002</v>
      </c>
      <c r="S148" s="30">
        <f t="shared" si="173"/>
        <v>10.36</v>
      </c>
      <c r="T148" s="30">
        <f t="shared" si="174"/>
        <v>11.100000000000001</v>
      </c>
      <c r="U148" s="30">
        <f t="shared" si="175"/>
        <v>14.8</v>
      </c>
      <c r="V148" s="30">
        <f t="shared" si="176"/>
        <v>29.6</v>
      </c>
      <c r="W148" s="22"/>
      <c r="X148" s="23">
        <f t="shared" si="177"/>
        <v>20720</v>
      </c>
      <c r="Y148" s="23"/>
      <c r="Z148" s="23">
        <f t="shared" si="178"/>
        <v>35520</v>
      </c>
      <c r="AA148" s="23">
        <f t="shared" si="179"/>
        <v>44400.000000000007</v>
      </c>
      <c r="AB148" s="23">
        <f t="shared" si="180"/>
        <v>59200</v>
      </c>
      <c r="AE148" s="36">
        <f t="shared" si="181"/>
        <v>2.08</v>
      </c>
      <c r="AF148" s="37">
        <f t="shared" si="182"/>
        <v>2019.68</v>
      </c>
      <c r="AG148" s="28">
        <f t="shared" si="183"/>
        <v>8622.4800000000014</v>
      </c>
      <c r="AH148" s="28">
        <f t="shared" si="184"/>
        <v>10778.100000000002</v>
      </c>
      <c r="AI148" s="28">
        <f t="shared" si="185"/>
        <v>14370.800000000001</v>
      </c>
      <c r="AJ148" s="28">
        <f t="shared" si="186"/>
        <v>28741.600000000002</v>
      </c>
      <c r="AK148" s="38"/>
      <c r="AL148" s="39">
        <v>0.26571428571428601</v>
      </c>
      <c r="AM148" s="40">
        <f t="shared" si="187"/>
        <v>16.474285714285735</v>
      </c>
      <c r="AN148" s="28">
        <f t="shared" si="188"/>
        <v>550.56000000000006</v>
      </c>
      <c r="AO148" s="28">
        <f t="shared" si="189"/>
        <v>688.2</v>
      </c>
      <c r="AP148" s="28">
        <f t="shared" si="190"/>
        <v>917.6</v>
      </c>
      <c r="AQ148" s="28">
        <f t="shared" si="191"/>
        <v>1835.2</v>
      </c>
      <c r="AS148" s="28">
        <f t="shared" si="192"/>
        <v>68.376000000000005</v>
      </c>
      <c r="AT148" s="28">
        <f t="shared" si="193"/>
        <v>85.470000000000013</v>
      </c>
      <c r="AU148" s="28">
        <f t="shared" si="194"/>
        <v>113.96000000000001</v>
      </c>
      <c r="AV148" s="28">
        <f t="shared" si="195"/>
        <v>227.92000000000002</v>
      </c>
      <c r="AX148" s="31">
        <f t="shared" si="196"/>
        <v>4440</v>
      </c>
      <c r="AY148" s="31">
        <f t="shared" si="197"/>
        <v>5550.0000000000009</v>
      </c>
      <c r="AZ148" s="31">
        <f t="shared" si="198"/>
        <v>7400</v>
      </c>
      <c r="BA148" s="31">
        <f t="shared" si="199"/>
        <v>14800</v>
      </c>
      <c r="BD148" s="55">
        <f t="shared" si="155"/>
        <v>38.295000000000009</v>
      </c>
      <c r="BE148" s="55">
        <f t="shared" si="156"/>
        <v>51.06</v>
      </c>
      <c r="BF148" s="55">
        <f t="shared" si="157"/>
        <v>102.12</v>
      </c>
      <c r="BI148" s="55">
        <f t="shared" si="158"/>
        <v>199.245</v>
      </c>
      <c r="BJ148" s="55">
        <f t="shared" si="159"/>
        <v>265.66000000000003</v>
      </c>
      <c r="BK148" s="55">
        <f t="shared" si="160"/>
        <v>531.32000000000005</v>
      </c>
      <c r="BN148" s="56">
        <f t="shared" si="161"/>
        <v>71606.100000000006</v>
      </c>
      <c r="BO148" s="56">
        <f t="shared" si="162"/>
        <v>95474.8</v>
      </c>
      <c r="BP148" s="56">
        <f t="shared" si="163"/>
        <v>190949.6</v>
      </c>
      <c r="BR148" s="54"/>
    </row>
    <row r="149" spans="1:70" x14ac:dyDescent="0.2">
      <c r="A149" s="14">
        <v>53900</v>
      </c>
      <c r="B149" s="51" t="s">
        <v>148</v>
      </c>
      <c r="C149" s="52" t="s">
        <v>15</v>
      </c>
      <c r="D149" s="52" t="s">
        <v>140</v>
      </c>
      <c r="E149" s="18"/>
      <c r="F149" s="25">
        <v>1.73</v>
      </c>
      <c r="G149" s="17"/>
      <c r="H149" s="11"/>
      <c r="I149" s="30">
        <f t="shared" si="147"/>
        <v>2.41</v>
      </c>
      <c r="J149" s="22">
        <f t="shared" si="164"/>
        <v>2.9299999999999997</v>
      </c>
      <c r="K149" s="22">
        <f t="shared" si="165"/>
        <v>3.6</v>
      </c>
      <c r="L149" s="22">
        <f t="shared" si="166"/>
        <v>4.82</v>
      </c>
      <c r="M149" s="22">
        <f t="shared" si="167"/>
        <v>6.0250000000000004</v>
      </c>
      <c r="N149" s="22">
        <f t="shared" si="168"/>
        <v>7.23</v>
      </c>
      <c r="O149" s="22">
        <f t="shared" si="169"/>
        <v>8.4350000000000005</v>
      </c>
      <c r="P149" s="30">
        <f t="shared" si="170"/>
        <v>14.460000000000003</v>
      </c>
      <c r="Q149" s="30">
        <f t="shared" si="171"/>
        <v>16.267500000000002</v>
      </c>
      <c r="R149" s="30">
        <f t="shared" si="172"/>
        <v>17.171250000000001</v>
      </c>
      <c r="S149" s="30">
        <f t="shared" si="173"/>
        <v>16.87</v>
      </c>
      <c r="T149" s="30">
        <f t="shared" si="174"/>
        <v>18.075000000000003</v>
      </c>
      <c r="U149" s="30">
        <f t="shared" si="175"/>
        <v>24.1</v>
      </c>
      <c r="V149" s="30">
        <f t="shared" si="176"/>
        <v>48.2</v>
      </c>
      <c r="W149" s="22"/>
      <c r="X149" s="23">
        <f t="shared" si="177"/>
        <v>33740</v>
      </c>
      <c r="Y149" s="23"/>
      <c r="Z149" s="23">
        <f t="shared" si="178"/>
        <v>57840.000000000007</v>
      </c>
      <c r="AA149" s="23">
        <f t="shared" si="179"/>
        <v>72300.000000000015</v>
      </c>
      <c r="AB149" s="23">
        <f t="shared" si="180"/>
        <v>96400</v>
      </c>
      <c r="AE149" s="36">
        <f t="shared" si="181"/>
        <v>3.0100000000000002</v>
      </c>
      <c r="AF149" s="37">
        <f t="shared" si="182"/>
        <v>2922.71</v>
      </c>
      <c r="AG149" s="28">
        <f t="shared" si="183"/>
        <v>14040.660000000002</v>
      </c>
      <c r="AH149" s="28">
        <f t="shared" si="184"/>
        <v>17550.825000000004</v>
      </c>
      <c r="AI149" s="28">
        <f t="shared" si="185"/>
        <v>23401.100000000002</v>
      </c>
      <c r="AJ149" s="28">
        <f t="shared" si="186"/>
        <v>46802.200000000004</v>
      </c>
      <c r="AK149" s="38"/>
      <c r="AL149" s="39">
        <v>1.26571428571429</v>
      </c>
      <c r="AM149" s="40">
        <f t="shared" si="187"/>
        <v>78.474285714285983</v>
      </c>
      <c r="AN149" s="28">
        <f t="shared" si="188"/>
        <v>896.52000000000021</v>
      </c>
      <c r="AO149" s="28">
        <f t="shared" si="189"/>
        <v>1120.6500000000001</v>
      </c>
      <c r="AP149" s="28">
        <f t="shared" si="190"/>
        <v>1494.2</v>
      </c>
      <c r="AQ149" s="28">
        <f t="shared" si="191"/>
        <v>2988.4</v>
      </c>
      <c r="AS149" s="28">
        <f t="shared" si="192"/>
        <v>111.34200000000003</v>
      </c>
      <c r="AT149" s="28">
        <f t="shared" si="193"/>
        <v>139.17750000000004</v>
      </c>
      <c r="AU149" s="28">
        <f t="shared" si="194"/>
        <v>185.57000000000002</v>
      </c>
      <c r="AV149" s="28">
        <f t="shared" si="195"/>
        <v>371.14000000000004</v>
      </c>
      <c r="AX149" s="31">
        <f t="shared" si="196"/>
        <v>7230.0000000000009</v>
      </c>
      <c r="AY149" s="31">
        <f t="shared" si="197"/>
        <v>9037.5000000000018</v>
      </c>
      <c r="AZ149" s="31">
        <f t="shared" si="198"/>
        <v>12050</v>
      </c>
      <c r="BA149" s="31">
        <f t="shared" si="199"/>
        <v>24100</v>
      </c>
      <c r="BD149" s="55">
        <f t="shared" si="155"/>
        <v>62.358750000000015</v>
      </c>
      <c r="BE149" s="55">
        <f t="shared" si="156"/>
        <v>83.14500000000001</v>
      </c>
      <c r="BF149" s="55">
        <f t="shared" si="157"/>
        <v>166.29000000000002</v>
      </c>
      <c r="BI149" s="55">
        <f t="shared" si="158"/>
        <v>324.44625000000002</v>
      </c>
      <c r="BJ149" s="55">
        <f t="shared" si="159"/>
        <v>432.59500000000003</v>
      </c>
      <c r="BK149" s="55">
        <f t="shared" si="160"/>
        <v>865.19</v>
      </c>
      <c r="BN149" s="56">
        <f t="shared" si="161"/>
        <v>116601.82500000001</v>
      </c>
      <c r="BO149" s="56">
        <f t="shared" si="162"/>
        <v>155469.1</v>
      </c>
      <c r="BP149" s="56">
        <f t="shared" si="163"/>
        <v>310938.2</v>
      </c>
      <c r="BR149" s="54"/>
    </row>
    <row r="150" spans="1:70" x14ac:dyDescent="0.2">
      <c r="A150" s="14">
        <v>54020</v>
      </c>
      <c r="B150" s="51" t="s">
        <v>230</v>
      </c>
      <c r="C150" s="17" t="s">
        <v>11</v>
      </c>
      <c r="D150" s="17" t="s">
        <v>20</v>
      </c>
      <c r="E150" s="18">
        <v>0.55714285714285705</v>
      </c>
      <c r="F150" s="25">
        <v>0.98571428571428599</v>
      </c>
      <c r="G150" s="17"/>
      <c r="H150" s="11">
        <v>10</v>
      </c>
      <c r="I150" s="30">
        <f t="shared" si="147"/>
        <v>1.6657142857142859</v>
      </c>
      <c r="J150" s="22">
        <f t="shared" si="138"/>
        <v>2.1857142857142859</v>
      </c>
      <c r="K150" s="22">
        <f t="shared" si="139"/>
        <v>2.8557142857142859</v>
      </c>
      <c r="L150" s="22">
        <f t="shared" si="127"/>
        <v>3.3314285714285718</v>
      </c>
      <c r="M150" s="22">
        <f t="shared" si="128"/>
        <v>4.1642857142857146</v>
      </c>
      <c r="N150" s="22">
        <f t="shared" si="129"/>
        <v>4.9971428571428582</v>
      </c>
      <c r="O150" s="22">
        <f t="shared" si="130"/>
        <v>5.830000000000001</v>
      </c>
      <c r="P150" s="30">
        <f t="shared" si="148"/>
        <v>9.9942857142857164</v>
      </c>
      <c r="Q150" s="30">
        <f t="shared" si="140"/>
        <v>11.24357142857143</v>
      </c>
      <c r="R150" s="30">
        <f t="shared" si="141"/>
        <v>11.868214285714286</v>
      </c>
      <c r="S150" s="30">
        <f t="shared" si="142"/>
        <v>11.66</v>
      </c>
      <c r="T150" s="30">
        <f t="shared" si="149"/>
        <v>12.492857142857144</v>
      </c>
      <c r="U150" s="30">
        <f t="shared" si="143"/>
        <v>16.657142857142858</v>
      </c>
      <c r="V150" s="30">
        <f t="shared" si="144"/>
        <v>33.314285714285717</v>
      </c>
      <c r="W150" s="22"/>
      <c r="X150" s="23">
        <f t="shared" si="131"/>
        <v>23320.000000000004</v>
      </c>
      <c r="Y150" s="23"/>
      <c r="Z150" s="23">
        <f t="shared" si="132"/>
        <v>39977.142857142862</v>
      </c>
      <c r="AA150" s="23">
        <f t="shared" si="150"/>
        <v>49971.428571428572</v>
      </c>
      <c r="AB150" s="23">
        <f t="shared" si="150"/>
        <v>66628.571428571435</v>
      </c>
      <c r="AE150" s="36">
        <f t="shared" si="133"/>
        <v>2.265714285714286</v>
      </c>
      <c r="AF150" s="37">
        <f t="shared" si="145"/>
        <v>2200.0085714285719</v>
      </c>
      <c r="AG150" s="28">
        <f t="shared" si="134"/>
        <v>9704.4514285714304</v>
      </c>
      <c r="AH150" s="28">
        <f t="shared" si="151"/>
        <v>12130.564285714287</v>
      </c>
      <c r="AI150" s="28">
        <f t="shared" si="151"/>
        <v>16174.085714285715</v>
      </c>
      <c r="AJ150" s="28">
        <f t="shared" si="151"/>
        <v>32348.17142857143</v>
      </c>
      <c r="AK150" s="38"/>
      <c r="AL150" s="39">
        <v>2.265714285714286</v>
      </c>
      <c r="AM150" s="40">
        <f t="shared" si="146"/>
        <v>140.47428571428574</v>
      </c>
      <c r="AN150" s="28">
        <f t="shared" si="135"/>
        <v>619.64571428571446</v>
      </c>
      <c r="AO150" s="28">
        <f t="shared" si="152"/>
        <v>774.55714285714294</v>
      </c>
      <c r="AP150" s="28">
        <f t="shared" si="152"/>
        <v>1032.7428571428572</v>
      </c>
      <c r="AQ150" s="28">
        <f t="shared" si="152"/>
        <v>2065.4857142857145</v>
      </c>
      <c r="AS150" s="28">
        <f t="shared" si="136"/>
        <v>76.956000000000017</v>
      </c>
      <c r="AT150" s="28">
        <f t="shared" si="153"/>
        <v>96.195000000000007</v>
      </c>
      <c r="AU150" s="28">
        <f t="shared" si="153"/>
        <v>128.26000000000002</v>
      </c>
      <c r="AV150" s="28">
        <f t="shared" si="153"/>
        <v>256.52000000000004</v>
      </c>
      <c r="AX150" s="31">
        <f t="shared" si="137"/>
        <v>4997.1428571428578</v>
      </c>
      <c r="AY150" s="31">
        <f t="shared" si="154"/>
        <v>6246.4285714285716</v>
      </c>
      <c r="AZ150" s="31">
        <f t="shared" si="154"/>
        <v>8328.5714285714294</v>
      </c>
      <c r="BA150" s="31">
        <f t="shared" si="154"/>
        <v>16657.142857142859</v>
      </c>
      <c r="BD150" s="55">
        <f t="shared" si="155"/>
        <v>43.100357142857149</v>
      </c>
      <c r="BE150" s="55">
        <f t="shared" si="156"/>
        <v>57.467142857142868</v>
      </c>
      <c r="BF150" s="55">
        <f t="shared" si="157"/>
        <v>114.93428571428574</v>
      </c>
      <c r="BI150" s="55">
        <f t="shared" si="158"/>
        <v>224.24678571428572</v>
      </c>
      <c r="BJ150" s="55">
        <f t="shared" si="159"/>
        <v>298.99571428571431</v>
      </c>
      <c r="BK150" s="55">
        <f t="shared" si="160"/>
        <v>597.99142857142863</v>
      </c>
      <c r="BN150" s="56">
        <f t="shared" si="161"/>
        <v>80591.421428571441</v>
      </c>
      <c r="BO150" s="56">
        <f t="shared" si="162"/>
        <v>107455.22857142858</v>
      </c>
      <c r="BP150" s="56">
        <f t="shared" si="163"/>
        <v>214910.45714285717</v>
      </c>
      <c r="BR150" s="54"/>
    </row>
    <row r="151" spans="1:70" x14ac:dyDescent="0.2">
      <c r="A151" s="14">
        <v>54060</v>
      </c>
      <c r="B151" s="51" t="s">
        <v>231</v>
      </c>
      <c r="C151" s="17" t="s">
        <v>11</v>
      </c>
      <c r="D151" s="17" t="s">
        <v>5</v>
      </c>
      <c r="E151" s="18">
        <v>0.55714285714285705</v>
      </c>
      <c r="F151" s="25">
        <v>0.98571428571428599</v>
      </c>
      <c r="G151" s="17"/>
      <c r="H151" s="17">
        <v>10</v>
      </c>
      <c r="I151" s="30">
        <f t="shared" si="147"/>
        <v>1.6657142857142859</v>
      </c>
      <c r="J151" s="22">
        <f t="shared" si="138"/>
        <v>2.1857142857142859</v>
      </c>
      <c r="K151" s="22">
        <f t="shared" si="139"/>
        <v>2.8557142857142859</v>
      </c>
      <c r="L151" s="22">
        <f t="shared" si="127"/>
        <v>3.3314285714285718</v>
      </c>
      <c r="M151" s="22">
        <f t="shared" si="128"/>
        <v>4.1642857142857146</v>
      </c>
      <c r="N151" s="22">
        <f t="shared" si="129"/>
        <v>4.9971428571428582</v>
      </c>
      <c r="O151" s="22">
        <f t="shared" si="130"/>
        <v>5.830000000000001</v>
      </c>
      <c r="P151" s="30">
        <f t="shared" si="148"/>
        <v>9.9942857142857164</v>
      </c>
      <c r="Q151" s="30">
        <f t="shared" si="140"/>
        <v>11.24357142857143</v>
      </c>
      <c r="R151" s="30">
        <f t="shared" si="141"/>
        <v>11.868214285714286</v>
      </c>
      <c r="S151" s="30">
        <f t="shared" si="142"/>
        <v>11.66</v>
      </c>
      <c r="T151" s="30">
        <f t="shared" si="149"/>
        <v>12.492857142857144</v>
      </c>
      <c r="U151" s="30">
        <f t="shared" si="143"/>
        <v>16.657142857142858</v>
      </c>
      <c r="V151" s="30">
        <f t="shared" si="144"/>
        <v>33.314285714285717</v>
      </c>
      <c r="W151" s="22"/>
      <c r="X151" s="23">
        <f t="shared" si="131"/>
        <v>23320.000000000004</v>
      </c>
      <c r="Y151" s="23"/>
      <c r="Z151" s="23">
        <f t="shared" si="132"/>
        <v>39977.142857142862</v>
      </c>
      <c r="AA151" s="23">
        <f t="shared" si="150"/>
        <v>49971.428571428572</v>
      </c>
      <c r="AB151" s="23">
        <f t="shared" si="150"/>
        <v>66628.571428571435</v>
      </c>
      <c r="AE151" s="36">
        <f t="shared" si="133"/>
        <v>2.265714285714286</v>
      </c>
      <c r="AF151" s="37">
        <f t="shared" si="145"/>
        <v>2200.0085714285719</v>
      </c>
      <c r="AG151" s="28">
        <f t="shared" si="134"/>
        <v>9704.4514285714304</v>
      </c>
      <c r="AH151" s="28">
        <f t="shared" si="151"/>
        <v>12130.564285714287</v>
      </c>
      <c r="AI151" s="28">
        <f t="shared" si="151"/>
        <v>16174.085714285715</v>
      </c>
      <c r="AJ151" s="28">
        <f t="shared" si="151"/>
        <v>32348.17142857143</v>
      </c>
      <c r="AK151" s="38"/>
      <c r="AL151" s="39">
        <v>2.265714285714286</v>
      </c>
      <c r="AM151" s="40">
        <f t="shared" si="146"/>
        <v>140.47428571428574</v>
      </c>
      <c r="AN151" s="28">
        <f t="shared" si="135"/>
        <v>619.64571428571446</v>
      </c>
      <c r="AO151" s="28">
        <f t="shared" si="152"/>
        <v>774.55714285714294</v>
      </c>
      <c r="AP151" s="28">
        <f t="shared" si="152"/>
        <v>1032.7428571428572</v>
      </c>
      <c r="AQ151" s="28">
        <f t="shared" si="152"/>
        <v>2065.4857142857145</v>
      </c>
      <c r="AS151" s="28">
        <f t="shared" si="136"/>
        <v>76.956000000000017</v>
      </c>
      <c r="AT151" s="28">
        <f t="shared" si="153"/>
        <v>96.195000000000007</v>
      </c>
      <c r="AU151" s="28">
        <f t="shared" si="153"/>
        <v>128.26000000000002</v>
      </c>
      <c r="AV151" s="28">
        <f t="shared" si="153"/>
        <v>256.52000000000004</v>
      </c>
      <c r="AX151" s="31">
        <f t="shared" si="137"/>
        <v>4997.1428571428578</v>
      </c>
      <c r="AY151" s="31">
        <f t="shared" si="154"/>
        <v>6246.4285714285716</v>
      </c>
      <c r="AZ151" s="31">
        <f t="shared" si="154"/>
        <v>8328.5714285714294</v>
      </c>
      <c r="BA151" s="31">
        <f t="shared" si="154"/>
        <v>16657.142857142859</v>
      </c>
      <c r="BD151" s="55">
        <f t="shared" si="155"/>
        <v>43.100357142857149</v>
      </c>
      <c r="BE151" s="55">
        <f t="shared" si="156"/>
        <v>57.467142857142868</v>
      </c>
      <c r="BF151" s="55">
        <f t="shared" si="157"/>
        <v>114.93428571428574</v>
      </c>
      <c r="BI151" s="55">
        <f t="shared" si="158"/>
        <v>224.24678571428572</v>
      </c>
      <c r="BJ151" s="55">
        <f t="shared" si="159"/>
        <v>298.99571428571431</v>
      </c>
      <c r="BK151" s="55">
        <f t="shared" si="160"/>
        <v>597.99142857142863</v>
      </c>
      <c r="BN151" s="56">
        <f t="shared" si="161"/>
        <v>80591.421428571441</v>
      </c>
      <c r="BO151" s="56">
        <f t="shared" si="162"/>
        <v>107455.22857142858</v>
      </c>
      <c r="BP151" s="56">
        <f t="shared" si="163"/>
        <v>214910.45714285717</v>
      </c>
      <c r="BR151" s="54"/>
    </row>
    <row r="152" spans="1:70" x14ac:dyDescent="0.2">
      <c r="A152" s="14">
        <v>54202</v>
      </c>
      <c r="B152" s="51" t="s">
        <v>232</v>
      </c>
      <c r="C152" s="17" t="s">
        <v>4</v>
      </c>
      <c r="D152" s="17" t="s">
        <v>5</v>
      </c>
      <c r="E152" s="18">
        <v>0.46428571428571402</v>
      </c>
      <c r="F152" s="25">
        <v>0.89285714285714302</v>
      </c>
      <c r="G152" s="17"/>
      <c r="H152" s="17">
        <v>10</v>
      </c>
      <c r="I152" s="30">
        <f t="shared" si="147"/>
        <v>1.572857142857143</v>
      </c>
      <c r="J152" s="22">
        <f t="shared" si="138"/>
        <v>2.092857142857143</v>
      </c>
      <c r="K152" s="22">
        <f t="shared" si="139"/>
        <v>2.7628571428571433</v>
      </c>
      <c r="L152" s="22">
        <f t="shared" si="127"/>
        <v>3.1457142857142859</v>
      </c>
      <c r="M152" s="22">
        <f t="shared" si="128"/>
        <v>3.9321428571428574</v>
      </c>
      <c r="N152" s="22">
        <f t="shared" si="129"/>
        <v>4.7185714285714289</v>
      </c>
      <c r="O152" s="22">
        <f t="shared" si="130"/>
        <v>5.5050000000000008</v>
      </c>
      <c r="P152" s="30">
        <f t="shared" si="148"/>
        <v>9.4371428571428577</v>
      </c>
      <c r="Q152" s="30">
        <f t="shared" si="140"/>
        <v>10.616785714285715</v>
      </c>
      <c r="R152" s="30">
        <f t="shared" si="141"/>
        <v>11.206607142857143</v>
      </c>
      <c r="S152" s="30">
        <f t="shared" si="142"/>
        <v>11.01</v>
      </c>
      <c r="T152" s="30">
        <f t="shared" si="149"/>
        <v>11.796428571428573</v>
      </c>
      <c r="U152" s="30">
        <f t="shared" si="143"/>
        <v>15.72857142857143</v>
      </c>
      <c r="V152" s="30">
        <f t="shared" si="144"/>
        <v>31.457142857142859</v>
      </c>
      <c r="W152" s="22"/>
      <c r="X152" s="23">
        <f t="shared" si="131"/>
        <v>22020.000000000004</v>
      </c>
      <c r="Y152" s="23"/>
      <c r="Z152" s="23">
        <f t="shared" si="132"/>
        <v>37748.571428571428</v>
      </c>
      <c r="AA152" s="23">
        <f t="shared" si="150"/>
        <v>47185.71428571429</v>
      </c>
      <c r="AB152" s="23">
        <f t="shared" si="150"/>
        <v>62914.285714285717</v>
      </c>
      <c r="AE152" s="36">
        <f t="shared" si="133"/>
        <v>2.172857142857143</v>
      </c>
      <c r="AF152" s="37">
        <f t="shared" si="145"/>
        <v>2109.8442857142859</v>
      </c>
      <c r="AG152" s="28">
        <f t="shared" si="134"/>
        <v>9163.4657142857141</v>
      </c>
      <c r="AH152" s="28">
        <f t="shared" si="151"/>
        <v>11454.332142857143</v>
      </c>
      <c r="AI152" s="28">
        <f t="shared" si="151"/>
        <v>15272.442857142858</v>
      </c>
      <c r="AJ152" s="28">
        <f t="shared" si="151"/>
        <v>30544.885714285716</v>
      </c>
      <c r="AK152" s="38"/>
      <c r="AL152" s="39">
        <v>2.172857142857143</v>
      </c>
      <c r="AM152" s="40">
        <f t="shared" si="146"/>
        <v>134.71714285714287</v>
      </c>
      <c r="AN152" s="28">
        <f t="shared" si="135"/>
        <v>585.10285714285715</v>
      </c>
      <c r="AO152" s="28">
        <f t="shared" si="152"/>
        <v>731.37857142857149</v>
      </c>
      <c r="AP152" s="28">
        <f t="shared" si="152"/>
        <v>975.17142857142858</v>
      </c>
      <c r="AQ152" s="28">
        <f t="shared" si="152"/>
        <v>1950.3428571428572</v>
      </c>
      <c r="AS152" s="28">
        <f t="shared" si="136"/>
        <v>72.666000000000011</v>
      </c>
      <c r="AT152" s="28">
        <f t="shared" si="153"/>
        <v>90.83250000000001</v>
      </c>
      <c r="AU152" s="28">
        <f t="shared" si="153"/>
        <v>121.11000000000001</v>
      </c>
      <c r="AV152" s="28">
        <f t="shared" si="153"/>
        <v>242.22000000000003</v>
      </c>
      <c r="AX152" s="31">
        <f t="shared" si="137"/>
        <v>4718.5714285714284</v>
      </c>
      <c r="AY152" s="31">
        <f t="shared" si="154"/>
        <v>5898.2142857142862</v>
      </c>
      <c r="AZ152" s="31">
        <f t="shared" si="154"/>
        <v>7864.2857142857147</v>
      </c>
      <c r="BA152" s="31">
        <f t="shared" si="154"/>
        <v>15728.571428571429</v>
      </c>
      <c r="BD152" s="55">
        <f t="shared" si="155"/>
        <v>40.697678571428575</v>
      </c>
      <c r="BE152" s="55">
        <f t="shared" si="156"/>
        <v>54.263571428571431</v>
      </c>
      <c r="BF152" s="55">
        <f t="shared" si="157"/>
        <v>108.52714285714286</v>
      </c>
      <c r="BI152" s="55">
        <f t="shared" si="158"/>
        <v>211.74589285714288</v>
      </c>
      <c r="BJ152" s="55">
        <f t="shared" si="159"/>
        <v>282.32785714285717</v>
      </c>
      <c r="BK152" s="55">
        <f t="shared" si="160"/>
        <v>564.65571428571434</v>
      </c>
      <c r="BN152" s="56">
        <f t="shared" si="161"/>
        <v>76098.760714285716</v>
      </c>
      <c r="BO152" s="56">
        <f t="shared" si="162"/>
        <v>101465.01428571429</v>
      </c>
      <c r="BP152" s="56">
        <f t="shared" si="163"/>
        <v>202930.02857142859</v>
      </c>
      <c r="BR152" s="54"/>
    </row>
    <row r="153" spans="1:70" x14ac:dyDescent="0.2">
      <c r="A153" s="14">
        <v>54206</v>
      </c>
      <c r="B153" s="51" t="s">
        <v>233</v>
      </c>
      <c r="C153" s="17" t="s">
        <v>8</v>
      </c>
      <c r="D153" s="17" t="s">
        <v>5</v>
      </c>
      <c r="E153" s="18">
        <v>0.55714285714285705</v>
      </c>
      <c r="F153" s="25">
        <v>1.05714285714286</v>
      </c>
      <c r="G153" s="17"/>
      <c r="H153" s="17">
        <v>10</v>
      </c>
      <c r="I153" s="30">
        <f t="shared" si="147"/>
        <v>1.7371428571428602</v>
      </c>
      <c r="J153" s="22">
        <f t="shared" si="138"/>
        <v>2.2571428571428598</v>
      </c>
      <c r="K153" s="22">
        <f t="shared" si="139"/>
        <v>2.9271428571428602</v>
      </c>
      <c r="L153" s="22">
        <f t="shared" si="127"/>
        <v>3.4742857142857204</v>
      </c>
      <c r="M153" s="22">
        <f t="shared" si="128"/>
        <v>4.3428571428571505</v>
      </c>
      <c r="N153" s="22">
        <f t="shared" si="129"/>
        <v>5.2114285714285806</v>
      </c>
      <c r="O153" s="22">
        <f t="shared" si="130"/>
        <v>6.0800000000000107</v>
      </c>
      <c r="P153" s="30">
        <f t="shared" si="148"/>
        <v>10.422857142857161</v>
      </c>
      <c r="Q153" s="30">
        <f t="shared" si="140"/>
        <v>11.725714285714307</v>
      </c>
      <c r="R153" s="30">
        <f t="shared" si="141"/>
        <v>12.377142857142879</v>
      </c>
      <c r="S153" s="30">
        <f t="shared" si="142"/>
        <v>12.160000000000021</v>
      </c>
      <c r="T153" s="30">
        <f t="shared" si="149"/>
        <v>13.028571428571452</v>
      </c>
      <c r="U153" s="30">
        <f t="shared" si="143"/>
        <v>17.371428571428602</v>
      </c>
      <c r="V153" s="30">
        <f t="shared" si="144"/>
        <v>34.742857142857204</v>
      </c>
      <c r="W153" s="22"/>
      <c r="X153" s="23">
        <f t="shared" si="131"/>
        <v>24320.000000000044</v>
      </c>
      <c r="Y153" s="23"/>
      <c r="Z153" s="23">
        <f t="shared" si="132"/>
        <v>41691.428571428645</v>
      </c>
      <c r="AA153" s="23">
        <f t="shared" si="150"/>
        <v>52114.285714285805</v>
      </c>
      <c r="AB153" s="23">
        <f t="shared" si="150"/>
        <v>69485.714285714406</v>
      </c>
      <c r="AE153" s="36">
        <f t="shared" si="133"/>
        <v>2.3371428571428603</v>
      </c>
      <c r="AF153" s="37">
        <f t="shared" si="145"/>
        <v>2269.3657142857173</v>
      </c>
      <c r="AG153" s="28">
        <f t="shared" si="134"/>
        <v>10120.594285714304</v>
      </c>
      <c r="AH153" s="28">
        <f t="shared" si="151"/>
        <v>12650.742857142879</v>
      </c>
      <c r="AI153" s="28">
        <f t="shared" si="151"/>
        <v>16867.657142857173</v>
      </c>
      <c r="AJ153" s="28">
        <f t="shared" si="151"/>
        <v>33735.314285714347</v>
      </c>
      <c r="AK153" s="38"/>
      <c r="AL153" s="39">
        <v>2.3371428571428603</v>
      </c>
      <c r="AM153" s="40">
        <f t="shared" si="146"/>
        <v>144.90285714285733</v>
      </c>
      <c r="AN153" s="28">
        <f t="shared" si="135"/>
        <v>646.21714285714404</v>
      </c>
      <c r="AO153" s="28">
        <f t="shared" si="152"/>
        <v>807.77142857142996</v>
      </c>
      <c r="AP153" s="28">
        <f t="shared" si="152"/>
        <v>1077.0285714285733</v>
      </c>
      <c r="AQ153" s="28">
        <f t="shared" si="152"/>
        <v>2154.0571428571466</v>
      </c>
      <c r="AS153" s="28">
        <f t="shared" si="136"/>
        <v>80.256000000000142</v>
      </c>
      <c r="AT153" s="28">
        <f t="shared" si="153"/>
        <v>100.32000000000018</v>
      </c>
      <c r="AU153" s="28">
        <f t="shared" si="153"/>
        <v>133.76000000000025</v>
      </c>
      <c r="AV153" s="28">
        <f t="shared" si="153"/>
        <v>267.52000000000049</v>
      </c>
      <c r="AX153" s="31">
        <f t="shared" si="137"/>
        <v>5211.4285714285807</v>
      </c>
      <c r="AY153" s="31">
        <f t="shared" si="154"/>
        <v>6514.2857142857256</v>
      </c>
      <c r="AZ153" s="31">
        <f t="shared" si="154"/>
        <v>8685.7142857143008</v>
      </c>
      <c r="BA153" s="31">
        <f t="shared" si="154"/>
        <v>17371.428571428602</v>
      </c>
      <c r="BD153" s="55">
        <f t="shared" si="155"/>
        <v>44.948571428571512</v>
      </c>
      <c r="BE153" s="55">
        <f t="shared" si="156"/>
        <v>59.931428571428683</v>
      </c>
      <c r="BF153" s="55">
        <f t="shared" si="157"/>
        <v>119.86285714285737</v>
      </c>
      <c r="BI153" s="55">
        <f t="shared" si="158"/>
        <v>233.86285714285754</v>
      </c>
      <c r="BJ153" s="55">
        <f t="shared" si="159"/>
        <v>311.81714285714338</v>
      </c>
      <c r="BK153" s="55">
        <f t="shared" si="160"/>
        <v>623.63428571428676</v>
      </c>
      <c r="BN153" s="56">
        <f t="shared" si="161"/>
        <v>84047.314285714441</v>
      </c>
      <c r="BO153" s="56">
        <f t="shared" si="162"/>
        <v>112063.08571428592</v>
      </c>
      <c r="BP153" s="56">
        <f t="shared" si="163"/>
        <v>224126.17142857183</v>
      </c>
      <c r="BR153" s="54"/>
    </row>
    <row r="154" spans="1:70" x14ac:dyDescent="0.2">
      <c r="A154" s="14">
        <v>54539</v>
      </c>
      <c r="B154" s="51" t="s">
        <v>150</v>
      </c>
      <c r="C154" s="52" t="s">
        <v>19</v>
      </c>
      <c r="D154" s="17" t="s">
        <v>20</v>
      </c>
      <c r="E154" s="18"/>
      <c r="F154" s="25">
        <v>0.37</v>
      </c>
      <c r="G154" s="17"/>
      <c r="H154" s="17"/>
      <c r="I154" s="30">
        <f t="shared" si="147"/>
        <v>1.05</v>
      </c>
      <c r="J154" s="22">
        <f t="shared" si="138"/>
        <v>1.5699999999999998</v>
      </c>
      <c r="K154" s="22">
        <f t="shared" si="139"/>
        <v>2.2400000000000002</v>
      </c>
      <c r="L154" s="22">
        <f t="shared" si="127"/>
        <v>2.1</v>
      </c>
      <c r="M154" s="22">
        <f t="shared" si="128"/>
        <v>2.625</v>
      </c>
      <c r="N154" s="22">
        <f t="shared" si="129"/>
        <v>3.1500000000000004</v>
      </c>
      <c r="O154" s="22">
        <f t="shared" si="130"/>
        <v>3.6750000000000003</v>
      </c>
      <c r="P154" s="30">
        <f t="shared" si="148"/>
        <v>6.3000000000000007</v>
      </c>
      <c r="Q154" s="30">
        <f t="shared" si="140"/>
        <v>7.0875000000000004</v>
      </c>
      <c r="R154" s="30">
        <f t="shared" si="141"/>
        <v>7.4812499999999993</v>
      </c>
      <c r="S154" s="30">
        <f t="shared" si="142"/>
        <v>7.35</v>
      </c>
      <c r="T154" s="30">
        <f t="shared" si="149"/>
        <v>7.875</v>
      </c>
      <c r="U154" s="30">
        <f t="shared" si="143"/>
        <v>10.5</v>
      </c>
      <c r="V154" s="30">
        <f t="shared" si="144"/>
        <v>21</v>
      </c>
      <c r="W154" s="22"/>
      <c r="X154" s="23">
        <f t="shared" si="131"/>
        <v>14700.000000000002</v>
      </c>
      <c r="Y154" s="23"/>
      <c r="Z154" s="23">
        <f t="shared" si="132"/>
        <v>25200.000000000004</v>
      </c>
      <c r="AA154" s="23">
        <f t="shared" si="150"/>
        <v>31500</v>
      </c>
      <c r="AB154" s="23">
        <f t="shared" si="150"/>
        <v>42000</v>
      </c>
      <c r="AE154" s="36">
        <f t="shared" si="133"/>
        <v>1.65</v>
      </c>
      <c r="AF154" s="37">
        <f t="shared" si="145"/>
        <v>1602.1499999999999</v>
      </c>
      <c r="AG154" s="28">
        <f t="shared" si="134"/>
        <v>6117.3000000000011</v>
      </c>
      <c r="AH154" s="28">
        <f t="shared" si="151"/>
        <v>7646.625</v>
      </c>
      <c r="AI154" s="28">
        <f t="shared" si="151"/>
        <v>10195.5</v>
      </c>
      <c r="AJ154" s="28">
        <f t="shared" si="151"/>
        <v>20391</v>
      </c>
      <c r="AK154" s="38"/>
      <c r="AL154" s="39"/>
      <c r="AM154" s="40"/>
      <c r="AN154" s="28">
        <f t="shared" si="135"/>
        <v>390.6</v>
      </c>
      <c r="AO154" s="28">
        <f t="shared" si="152"/>
        <v>488.25</v>
      </c>
      <c r="AP154" s="28">
        <f t="shared" si="152"/>
        <v>651</v>
      </c>
      <c r="AQ154" s="28">
        <f t="shared" si="152"/>
        <v>1302</v>
      </c>
      <c r="AS154" s="28">
        <f t="shared" si="136"/>
        <v>48.510000000000005</v>
      </c>
      <c r="AT154" s="28">
        <f t="shared" si="153"/>
        <v>60.637500000000003</v>
      </c>
      <c r="AU154" s="28">
        <f t="shared" si="153"/>
        <v>80.850000000000009</v>
      </c>
      <c r="AV154" s="28">
        <f t="shared" si="153"/>
        <v>161.70000000000002</v>
      </c>
      <c r="AX154" s="31">
        <f t="shared" si="137"/>
        <v>3150.0000000000005</v>
      </c>
      <c r="AY154" s="31">
        <f t="shared" si="154"/>
        <v>3937.5</v>
      </c>
      <c r="AZ154" s="31">
        <f t="shared" si="154"/>
        <v>5250</v>
      </c>
      <c r="BA154" s="31">
        <f t="shared" si="154"/>
        <v>10500</v>
      </c>
      <c r="BD154" s="55">
        <f t="shared" si="155"/>
        <v>27.168750000000003</v>
      </c>
      <c r="BE154" s="55">
        <f t="shared" si="156"/>
        <v>36.225000000000001</v>
      </c>
      <c r="BF154" s="55">
        <f t="shared" si="157"/>
        <v>72.45</v>
      </c>
      <c r="BI154" s="55">
        <f t="shared" si="158"/>
        <v>141.35624999999999</v>
      </c>
      <c r="BJ154" s="55">
        <f t="shared" si="159"/>
        <v>188.47499999999999</v>
      </c>
      <c r="BK154" s="55">
        <f t="shared" si="160"/>
        <v>376.95</v>
      </c>
      <c r="BN154" s="56">
        <f t="shared" si="161"/>
        <v>50801.625</v>
      </c>
      <c r="BO154" s="56">
        <f t="shared" si="162"/>
        <v>67735.5</v>
      </c>
      <c r="BP154" s="56">
        <f t="shared" si="163"/>
        <v>135471</v>
      </c>
      <c r="BR154" s="54"/>
    </row>
    <row r="155" spans="1:70" x14ac:dyDescent="0.2">
      <c r="A155" s="14">
        <v>54543</v>
      </c>
      <c r="B155" s="51" t="s">
        <v>151</v>
      </c>
      <c r="C155" s="52" t="s">
        <v>11</v>
      </c>
      <c r="D155" s="52" t="s">
        <v>20</v>
      </c>
      <c r="E155" s="18"/>
      <c r="F155" s="25">
        <v>0.41</v>
      </c>
      <c r="G155" s="17"/>
      <c r="H155" s="17"/>
      <c r="I155" s="30">
        <f t="shared" si="147"/>
        <v>1.0900000000000001</v>
      </c>
      <c r="J155" s="22">
        <f t="shared" si="138"/>
        <v>1.6099999999999999</v>
      </c>
      <c r="K155" s="22">
        <f t="shared" si="139"/>
        <v>2.2800000000000002</v>
      </c>
      <c r="L155" s="22">
        <f t="shared" si="127"/>
        <v>2.1800000000000002</v>
      </c>
      <c r="M155" s="22">
        <f t="shared" si="128"/>
        <v>2.7250000000000001</v>
      </c>
      <c r="N155" s="22">
        <f t="shared" si="129"/>
        <v>3.2700000000000005</v>
      </c>
      <c r="O155" s="22">
        <f t="shared" si="130"/>
        <v>3.8150000000000004</v>
      </c>
      <c r="P155" s="30">
        <f t="shared" si="148"/>
        <v>6.5400000000000009</v>
      </c>
      <c r="Q155" s="30">
        <f t="shared" si="140"/>
        <v>7.3575000000000008</v>
      </c>
      <c r="R155" s="30">
        <f t="shared" si="141"/>
        <v>7.7662500000000003</v>
      </c>
      <c r="S155" s="30">
        <f t="shared" si="142"/>
        <v>7.63</v>
      </c>
      <c r="T155" s="30">
        <f t="shared" si="149"/>
        <v>8.1750000000000007</v>
      </c>
      <c r="U155" s="30">
        <f t="shared" si="143"/>
        <v>10.9</v>
      </c>
      <c r="V155" s="30">
        <f t="shared" si="144"/>
        <v>21.8</v>
      </c>
      <c r="W155" s="22"/>
      <c r="X155" s="23">
        <f t="shared" si="131"/>
        <v>15260.000000000002</v>
      </c>
      <c r="Y155" s="23"/>
      <c r="Z155" s="23">
        <f t="shared" si="132"/>
        <v>26160.000000000004</v>
      </c>
      <c r="AA155" s="23">
        <f t="shared" si="150"/>
        <v>32700.000000000004</v>
      </c>
      <c r="AB155" s="23">
        <f t="shared" si="150"/>
        <v>43600</v>
      </c>
      <c r="AE155" s="36">
        <f t="shared" si="133"/>
        <v>1.69</v>
      </c>
      <c r="AF155" s="37">
        <f t="shared" si="145"/>
        <v>1640.99</v>
      </c>
      <c r="AG155" s="28">
        <f t="shared" si="134"/>
        <v>6350.3400000000011</v>
      </c>
      <c r="AH155" s="28">
        <f t="shared" si="151"/>
        <v>7937.9250000000011</v>
      </c>
      <c r="AI155" s="28">
        <f t="shared" si="151"/>
        <v>10583.9</v>
      </c>
      <c r="AJ155" s="28">
        <f t="shared" si="151"/>
        <v>21167.8</v>
      </c>
      <c r="AK155" s="38"/>
      <c r="AL155" s="39"/>
      <c r="AM155" s="40"/>
      <c r="AN155" s="28">
        <f t="shared" si="135"/>
        <v>405.48000000000008</v>
      </c>
      <c r="AO155" s="28">
        <f t="shared" si="152"/>
        <v>506.85</v>
      </c>
      <c r="AP155" s="28">
        <f t="shared" si="152"/>
        <v>675.80000000000007</v>
      </c>
      <c r="AQ155" s="28">
        <f t="shared" si="152"/>
        <v>1351.6000000000001</v>
      </c>
      <c r="AS155" s="28">
        <f t="shared" si="136"/>
        <v>50.358000000000011</v>
      </c>
      <c r="AT155" s="28">
        <f t="shared" si="153"/>
        <v>62.947500000000005</v>
      </c>
      <c r="AU155" s="28">
        <f t="shared" si="153"/>
        <v>83.93</v>
      </c>
      <c r="AV155" s="28">
        <f t="shared" si="153"/>
        <v>167.86</v>
      </c>
      <c r="AX155" s="31">
        <f t="shared" si="137"/>
        <v>3270.0000000000005</v>
      </c>
      <c r="AY155" s="31">
        <f t="shared" si="154"/>
        <v>4087.5000000000005</v>
      </c>
      <c r="AZ155" s="31">
        <f t="shared" si="154"/>
        <v>5450</v>
      </c>
      <c r="BA155" s="31">
        <f t="shared" si="154"/>
        <v>10900</v>
      </c>
      <c r="BD155" s="55">
        <f t="shared" si="155"/>
        <v>28.203750000000003</v>
      </c>
      <c r="BE155" s="55">
        <f t="shared" si="156"/>
        <v>37.605000000000004</v>
      </c>
      <c r="BF155" s="55">
        <f t="shared" si="157"/>
        <v>75.210000000000008</v>
      </c>
      <c r="BI155" s="55">
        <f t="shared" si="158"/>
        <v>146.74125000000001</v>
      </c>
      <c r="BJ155" s="55">
        <f t="shared" si="159"/>
        <v>195.655</v>
      </c>
      <c r="BK155" s="55">
        <f t="shared" si="160"/>
        <v>391.31</v>
      </c>
      <c r="BN155" s="56">
        <f t="shared" si="161"/>
        <v>52736.925000000003</v>
      </c>
      <c r="BO155" s="56">
        <f t="shared" si="162"/>
        <v>70315.900000000009</v>
      </c>
      <c r="BP155" s="56">
        <f t="shared" si="163"/>
        <v>140631.80000000002</v>
      </c>
      <c r="BR155" s="54"/>
    </row>
    <row r="156" spans="1:70" x14ac:dyDescent="0.2">
      <c r="A156" s="14">
        <v>54701</v>
      </c>
      <c r="B156" s="51" t="s">
        <v>146</v>
      </c>
      <c r="C156" s="52" t="s">
        <v>147</v>
      </c>
      <c r="D156" s="52" t="s">
        <v>140</v>
      </c>
      <c r="E156" s="18"/>
      <c r="F156" s="25">
        <v>1.2</v>
      </c>
      <c r="G156" s="17"/>
      <c r="H156" s="17"/>
      <c r="I156" s="17">
        <f t="shared" si="147"/>
        <v>1.88</v>
      </c>
      <c r="J156" s="22">
        <f t="shared" si="138"/>
        <v>2.4</v>
      </c>
      <c r="K156" s="22">
        <f t="shared" si="139"/>
        <v>3.0700000000000003</v>
      </c>
      <c r="L156" s="22">
        <f t="shared" ref="L156:L157" si="200">I156*2</f>
        <v>3.76</v>
      </c>
      <c r="M156" s="22">
        <f t="shared" ref="M156:M157" si="201">I156*2.5</f>
        <v>4.6999999999999993</v>
      </c>
      <c r="N156" s="22">
        <f t="shared" ref="N156:N157" si="202">I156*3</f>
        <v>5.64</v>
      </c>
      <c r="O156" s="22">
        <f t="shared" ref="O156:O157" si="203">I156*3.5</f>
        <v>6.58</v>
      </c>
      <c r="P156" s="30">
        <f t="shared" ref="P156:P157" si="204">T156*0.8</f>
        <v>11.28</v>
      </c>
      <c r="Q156" s="30">
        <f t="shared" ref="Q156:Q157" si="205">T156*0.9</f>
        <v>12.689999999999998</v>
      </c>
      <c r="R156" s="30">
        <f t="shared" ref="R156:R157" si="206">T156*0.95</f>
        <v>13.394999999999998</v>
      </c>
      <c r="S156" s="30">
        <f t="shared" ref="S156:S157" si="207">U156*0.7</f>
        <v>13.159999999999997</v>
      </c>
      <c r="T156" s="30">
        <f t="shared" ref="T156:T157" si="208">U156*0.75</f>
        <v>14.099999999999998</v>
      </c>
      <c r="U156" s="30">
        <f t="shared" ref="U156:U157" si="209">I156*10</f>
        <v>18.799999999999997</v>
      </c>
      <c r="V156" s="30">
        <f t="shared" ref="V156:V157" si="210">I156*20</f>
        <v>37.599999999999994</v>
      </c>
      <c r="W156" s="22"/>
      <c r="X156" s="23">
        <f t="shared" ref="X156:X157" si="211">O156*4000</f>
        <v>26320</v>
      </c>
      <c r="Y156" s="23"/>
      <c r="Z156" s="23">
        <f t="shared" ref="Z156:Z157" si="212">P156*4000</f>
        <v>45120</v>
      </c>
      <c r="AA156" s="23">
        <f t="shared" ref="AA156:AA157" si="213">T156*4000</f>
        <v>56399.999999999993</v>
      </c>
      <c r="AB156" s="23">
        <f t="shared" ref="AB156:AB157" si="214">U156*4000</f>
        <v>75199.999999999985</v>
      </c>
      <c r="AE156" s="36">
        <f t="shared" ref="AE156:AE157" si="215">I156+0.6</f>
        <v>2.48</v>
      </c>
      <c r="AF156" s="37">
        <f t="shared" ref="AF156:AF157" si="216">AE156*971</f>
        <v>2408.08</v>
      </c>
      <c r="AG156" s="28">
        <f t="shared" ref="AG156:AG157" si="217">P156*971</f>
        <v>10952.88</v>
      </c>
      <c r="AH156" s="28">
        <f t="shared" ref="AH156:AH157" si="218">T156*971</f>
        <v>13691.099999999999</v>
      </c>
      <c r="AI156" s="28">
        <f t="shared" ref="AI156:AI157" si="219">U156*971</f>
        <v>18254.799999999996</v>
      </c>
      <c r="AJ156" s="28">
        <f t="shared" ref="AJ156:AJ157" si="220">V156*971</f>
        <v>36509.599999999991</v>
      </c>
      <c r="AK156" s="38"/>
      <c r="AL156" s="39">
        <v>1.82</v>
      </c>
      <c r="AM156" s="40">
        <f t="shared" ref="AM156" si="221">AL156*62</f>
        <v>112.84</v>
      </c>
      <c r="AN156" s="28">
        <f t="shared" ref="AN156:AN157" si="222">P156*62</f>
        <v>699.36</v>
      </c>
      <c r="AO156" s="28">
        <f t="shared" ref="AO156:AO157" si="223">T156*62</f>
        <v>874.19999999999982</v>
      </c>
      <c r="AP156" s="28">
        <f t="shared" ref="AP156:AP157" si="224">U156*62</f>
        <v>1165.5999999999999</v>
      </c>
      <c r="AQ156" s="28">
        <f t="shared" ref="AQ156:AQ157" si="225">V156*62</f>
        <v>2331.1999999999998</v>
      </c>
      <c r="AS156" s="28">
        <f t="shared" ref="AS156:AS157" si="226">P156*7.7</f>
        <v>86.855999999999995</v>
      </c>
      <c r="AT156" s="28">
        <f t="shared" ref="AT156:AT157" si="227">T156*7.7</f>
        <v>108.57</v>
      </c>
      <c r="AU156" s="28">
        <f t="shared" ref="AU156:AU157" si="228">U156*7.7</f>
        <v>144.76</v>
      </c>
      <c r="AV156" s="28">
        <f t="shared" ref="AV156:AV157" si="229">V156*7.7</f>
        <v>289.52</v>
      </c>
      <c r="AX156" s="31">
        <f t="shared" ref="AX156:AX157" si="230">P156*500</f>
        <v>5640</v>
      </c>
      <c r="AY156" s="31">
        <f t="shared" ref="AY156:AY157" si="231">T156*500</f>
        <v>7049.9999999999991</v>
      </c>
      <c r="AZ156" s="31">
        <f t="shared" ref="AZ156:AZ157" si="232">U156*500</f>
        <v>9399.9999999999982</v>
      </c>
      <c r="BA156" s="31">
        <f t="shared" ref="BA156:BA157" si="233">V156*500</f>
        <v>18799.999999999996</v>
      </c>
      <c r="BD156" s="55">
        <f t="shared" si="155"/>
        <v>48.644999999999996</v>
      </c>
      <c r="BE156" s="55">
        <f t="shared" si="156"/>
        <v>64.86</v>
      </c>
      <c r="BF156" s="55">
        <f t="shared" si="157"/>
        <v>129.72</v>
      </c>
      <c r="BI156" s="55">
        <f t="shared" si="158"/>
        <v>253.09499999999994</v>
      </c>
      <c r="BJ156" s="55">
        <f t="shared" si="159"/>
        <v>337.45999999999992</v>
      </c>
      <c r="BK156" s="55">
        <f t="shared" si="160"/>
        <v>674.91999999999985</v>
      </c>
      <c r="BN156" s="56">
        <f t="shared" si="161"/>
        <v>90959.099999999991</v>
      </c>
      <c r="BO156" s="56">
        <f t="shared" si="162"/>
        <v>121278.79999999999</v>
      </c>
      <c r="BP156" s="56">
        <f t="shared" si="163"/>
        <v>242557.59999999998</v>
      </c>
      <c r="BR156" s="54"/>
    </row>
    <row r="157" spans="1:70" x14ac:dyDescent="0.2">
      <c r="A157" s="14">
        <v>54798</v>
      </c>
      <c r="B157" s="58" t="s">
        <v>237</v>
      </c>
      <c r="C157" s="52"/>
      <c r="D157" s="59" t="s">
        <v>20</v>
      </c>
      <c r="E157" s="18"/>
      <c r="F157" s="25">
        <v>0.79</v>
      </c>
      <c r="G157" s="17"/>
      <c r="H157" s="17"/>
      <c r="I157" s="17">
        <f t="shared" si="147"/>
        <v>1.4700000000000002</v>
      </c>
      <c r="J157" s="22">
        <f t="shared" si="138"/>
        <v>1.99</v>
      </c>
      <c r="K157" s="22">
        <f t="shared" si="139"/>
        <v>2.66</v>
      </c>
      <c r="L157" s="22">
        <f t="shared" si="200"/>
        <v>2.9400000000000004</v>
      </c>
      <c r="M157" s="22">
        <f t="shared" si="201"/>
        <v>3.6750000000000007</v>
      </c>
      <c r="N157" s="22">
        <f t="shared" si="202"/>
        <v>4.41</v>
      </c>
      <c r="O157" s="22">
        <f t="shared" si="203"/>
        <v>5.1450000000000005</v>
      </c>
      <c r="P157" s="30">
        <f t="shared" si="204"/>
        <v>8.8200000000000021</v>
      </c>
      <c r="Q157" s="30">
        <f t="shared" si="205"/>
        <v>9.922500000000003</v>
      </c>
      <c r="R157" s="30">
        <f t="shared" si="206"/>
        <v>10.473750000000001</v>
      </c>
      <c r="S157" s="30">
        <f t="shared" si="207"/>
        <v>10.290000000000001</v>
      </c>
      <c r="T157" s="30">
        <f t="shared" si="208"/>
        <v>11.025000000000002</v>
      </c>
      <c r="U157" s="30">
        <f t="shared" si="209"/>
        <v>14.700000000000003</v>
      </c>
      <c r="V157" s="30">
        <f t="shared" si="210"/>
        <v>29.400000000000006</v>
      </c>
      <c r="W157" s="22"/>
      <c r="X157" s="23">
        <f t="shared" si="211"/>
        <v>20580.000000000004</v>
      </c>
      <c r="Y157" s="23"/>
      <c r="Z157" s="23">
        <f t="shared" si="212"/>
        <v>35280.000000000007</v>
      </c>
      <c r="AA157" s="23">
        <f t="shared" si="213"/>
        <v>44100.000000000007</v>
      </c>
      <c r="AB157" s="23">
        <f t="shared" si="214"/>
        <v>58800.000000000015</v>
      </c>
      <c r="AE157" s="36">
        <f t="shared" si="215"/>
        <v>2.0700000000000003</v>
      </c>
      <c r="AF157" s="37">
        <f t="shared" si="216"/>
        <v>2009.9700000000003</v>
      </c>
      <c r="AG157" s="28">
        <f t="shared" si="217"/>
        <v>8564.2200000000012</v>
      </c>
      <c r="AH157" s="28">
        <f t="shared" si="218"/>
        <v>10705.275000000001</v>
      </c>
      <c r="AI157" s="28">
        <f t="shared" si="219"/>
        <v>14273.700000000003</v>
      </c>
      <c r="AJ157" s="28">
        <f t="shared" si="220"/>
        <v>28547.400000000005</v>
      </c>
      <c r="AK157" s="38"/>
      <c r="AL157" s="39"/>
      <c r="AM157" s="40"/>
      <c r="AN157" s="28">
        <f t="shared" si="222"/>
        <v>546.84000000000015</v>
      </c>
      <c r="AO157" s="28">
        <f t="shared" si="223"/>
        <v>683.55000000000018</v>
      </c>
      <c r="AP157" s="28">
        <f t="shared" si="224"/>
        <v>911.4000000000002</v>
      </c>
      <c r="AQ157" s="28">
        <f t="shared" si="225"/>
        <v>1822.8000000000004</v>
      </c>
      <c r="AS157" s="28">
        <f t="shared" si="226"/>
        <v>67.914000000000016</v>
      </c>
      <c r="AT157" s="28">
        <f t="shared" si="227"/>
        <v>84.892500000000013</v>
      </c>
      <c r="AU157" s="28">
        <f t="shared" si="228"/>
        <v>113.19000000000003</v>
      </c>
      <c r="AV157" s="28">
        <f t="shared" si="229"/>
        <v>226.38000000000005</v>
      </c>
      <c r="AX157" s="31">
        <f t="shared" si="230"/>
        <v>4410.0000000000009</v>
      </c>
      <c r="AY157" s="31">
        <f t="shared" si="231"/>
        <v>5512.5000000000009</v>
      </c>
      <c r="AZ157" s="31">
        <f t="shared" si="232"/>
        <v>7350.0000000000018</v>
      </c>
      <c r="BA157" s="31">
        <f t="shared" si="233"/>
        <v>14700.000000000004</v>
      </c>
      <c r="BD157" s="55">
        <f t="shared" si="155"/>
        <v>38.03625000000001</v>
      </c>
      <c r="BE157" s="55">
        <f t="shared" si="156"/>
        <v>50.715000000000011</v>
      </c>
      <c r="BF157" s="55">
        <f t="shared" si="157"/>
        <v>101.43000000000002</v>
      </c>
      <c r="BI157" s="55">
        <f t="shared" si="158"/>
        <v>197.89875000000004</v>
      </c>
      <c r="BJ157" s="55">
        <f t="shared" si="159"/>
        <v>263.86500000000007</v>
      </c>
      <c r="BK157" s="55">
        <f t="shared" si="160"/>
        <v>527.73000000000013</v>
      </c>
      <c r="BN157" s="56">
        <f t="shared" si="161"/>
        <v>71122.275000000009</v>
      </c>
      <c r="BO157" s="56">
        <f t="shared" si="162"/>
        <v>94829.700000000012</v>
      </c>
      <c r="BP157" s="56">
        <f t="shared" si="163"/>
        <v>189659.40000000002</v>
      </c>
      <c r="BR157" s="54"/>
    </row>
    <row r="158" spans="1:70" x14ac:dyDescent="0.2">
      <c r="A158" s="14">
        <v>54883</v>
      </c>
      <c r="B158" s="58" t="s">
        <v>238</v>
      </c>
      <c r="C158" s="17" t="s">
        <v>11</v>
      </c>
      <c r="D158" s="17" t="s">
        <v>5</v>
      </c>
      <c r="E158" s="18">
        <v>0.99</v>
      </c>
      <c r="F158" s="24">
        <v>1.54</v>
      </c>
      <c r="G158" s="20" t="s">
        <v>6</v>
      </c>
      <c r="H158" s="11">
        <v>25</v>
      </c>
      <c r="I158" s="17">
        <f t="shared" si="147"/>
        <v>2.2200000000000002</v>
      </c>
      <c r="J158" s="22">
        <f t="shared" si="138"/>
        <v>2.74</v>
      </c>
      <c r="K158" s="22">
        <f t="shared" si="139"/>
        <v>3.41</v>
      </c>
      <c r="L158" s="22">
        <f t="shared" si="127"/>
        <v>4.4400000000000004</v>
      </c>
      <c r="M158" s="22">
        <f t="shared" si="128"/>
        <v>5.5500000000000007</v>
      </c>
      <c r="N158" s="22">
        <f t="shared" si="129"/>
        <v>6.66</v>
      </c>
      <c r="O158" s="22">
        <f t="shared" si="130"/>
        <v>7.7700000000000005</v>
      </c>
      <c r="P158" s="30">
        <f t="shared" si="148"/>
        <v>13.320000000000002</v>
      </c>
      <c r="Q158" s="30">
        <f t="shared" si="140"/>
        <v>14.985000000000003</v>
      </c>
      <c r="R158" s="30">
        <f t="shared" si="141"/>
        <v>15.817500000000001</v>
      </c>
      <c r="S158" s="30">
        <f t="shared" si="142"/>
        <v>15.540000000000001</v>
      </c>
      <c r="T158" s="30">
        <f t="shared" si="149"/>
        <v>16.650000000000002</v>
      </c>
      <c r="U158" s="30">
        <f t="shared" si="143"/>
        <v>22.200000000000003</v>
      </c>
      <c r="V158" s="30">
        <f t="shared" si="144"/>
        <v>44.400000000000006</v>
      </c>
      <c r="W158" s="22"/>
      <c r="X158" s="23">
        <f t="shared" si="131"/>
        <v>31080.000000000004</v>
      </c>
      <c r="Y158" s="23"/>
      <c r="Z158" s="23">
        <f t="shared" si="132"/>
        <v>53280.000000000007</v>
      </c>
      <c r="AA158" s="23">
        <f t="shared" si="150"/>
        <v>66600.000000000015</v>
      </c>
      <c r="AB158" s="23">
        <f t="shared" si="150"/>
        <v>88800.000000000015</v>
      </c>
      <c r="AE158" s="36">
        <f t="shared" si="133"/>
        <v>2.8200000000000003</v>
      </c>
      <c r="AF158" s="37">
        <f t="shared" si="145"/>
        <v>2738.2200000000003</v>
      </c>
      <c r="AG158" s="28">
        <f t="shared" si="134"/>
        <v>12933.720000000001</v>
      </c>
      <c r="AH158" s="28">
        <f t="shared" si="151"/>
        <v>16167.150000000001</v>
      </c>
      <c r="AI158" s="28">
        <f t="shared" si="151"/>
        <v>21556.200000000004</v>
      </c>
      <c r="AJ158" s="28">
        <f t="shared" si="151"/>
        <v>43112.400000000009</v>
      </c>
      <c r="AK158" s="38"/>
      <c r="AL158" s="39">
        <v>2.8200000000000003</v>
      </c>
      <c r="AM158" s="40">
        <f t="shared" si="146"/>
        <v>174.84000000000003</v>
      </c>
      <c r="AN158" s="28">
        <f t="shared" si="135"/>
        <v>825.84000000000015</v>
      </c>
      <c r="AO158" s="28">
        <f t="shared" si="152"/>
        <v>1032.3000000000002</v>
      </c>
      <c r="AP158" s="28">
        <f t="shared" si="152"/>
        <v>1376.4</v>
      </c>
      <c r="AQ158" s="28">
        <f t="shared" si="152"/>
        <v>2752.8</v>
      </c>
      <c r="AS158" s="28">
        <f t="shared" si="136"/>
        <v>102.56400000000002</v>
      </c>
      <c r="AT158" s="28">
        <f t="shared" si="153"/>
        <v>128.20500000000001</v>
      </c>
      <c r="AU158" s="28">
        <f t="shared" si="153"/>
        <v>170.94000000000003</v>
      </c>
      <c r="AV158" s="28">
        <f t="shared" si="153"/>
        <v>341.88000000000005</v>
      </c>
      <c r="AX158" s="31">
        <f t="shared" si="137"/>
        <v>6660.0000000000009</v>
      </c>
      <c r="AY158" s="31">
        <f t="shared" si="154"/>
        <v>8325.0000000000018</v>
      </c>
      <c r="AZ158" s="31">
        <f t="shared" si="154"/>
        <v>11100.000000000002</v>
      </c>
      <c r="BA158" s="31">
        <f t="shared" si="154"/>
        <v>22200.000000000004</v>
      </c>
      <c r="BD158" s="55">
        <f t="shared" si="155"/>
        <v>57.44250000000001</v>
      </c>
      <c r="BE158" s="55">
        <f t="shared" si="156"/>
        <v>76.590000000000018</v>
      </c>
      <c r="BF158" s="55">
        <f t="shared" si="157"/>
        <v>153.18000000000004</v>
      </c>
      <c r="BI158" s="55">
        <f t="shared" si="158"/>
        <v>298.86750000000001</v>
      </c>
      <c r="BJ158" s="55">
        <f t="shared" si="159"/>
        <v>398.49</v>
      </c>
      <c r="BK158" s="55">
        <f t="shared" si="160"/>
        <v>796.98</v>
      </c>
      <c r="BN158" s="56">
        <f t="shared" si="161"/>
        <v>107409.15000000001</v>
      </c>
      <c r="BO158" s="56">
        <f t="shared" si="162"/>
        <v>143212.20000000001</v>
      </c>
      <c r="BP158" s="56">
        <f t="shared" si="163"/>
        <v>286424.40000000002</v>
      </c>
      <c r="BR158" s="54"/>
    </row>
    <row r="159" spans="1:70" x14ac:dyDescent="0.2">
      <c r="A159" s="14">
        <v>54888</v>
      </c>
      <c r="B159" s="21" t="s">
        <v>98</v>
      </c>
      <c r="C159" s="17" t="s">
        <v>15</v>
      </c>
      <c r="D159" s="17" t="s">
        <v>5</v>
      </c>
      <c r="E159" s="18">
        <v>1.24</v>
      </c>
      <c r="F159" s="24">
        <v>1.95</v>
      </c>
      <c r="G159" s="20" t="s">
        <v>6</v>
      </c>
      <c r="H159" s="17">
        <v>50</v>
      </c>
      <c r="I159" s="17">
        <f t="shared" si="147"/>
        <v>2.63</v>
      </c>
      <c r="J159" s="22">
        <f t="shared" si="138"/>
        <v>3.15</v>
      </c>
      <c r="K159" s="22">
        <f t="shared" si="139"/>
        <v>3.8200000000000003</v>
      </c>
      <c r="L159" s="22">
        <f t="shared" si="127"/>
        <v>5.26</v>
      </c>
      <c r="M159" s="22">
        <f t="shared" si="128"/>
        <v>6.5749999999999993</v>
      </c>
      <c r="N159" s="22">
        <f t="shared" si="129"/>
        <v>7.89</v>
      </c>
      <c r="O159" s="22">
        <f t="shared" si="130"/>
        <v>9.2050000000000001</v>
      </c>
      <c r="P159" s="30">
        <f t="shared" si="148"/>
        <v>15.78</v>
      </c>
      <c r="Q159" s="30">
        <f t="shared" si="140"/>
        <v>17.752499999999998</v>
      </c>
      <c r="R159" s="30">
        <f t="shared" si="141"/>
        <v>18.738749999999996</v>
      </c>
      <c r="S159" s="30">
        <f t="shared" si="142"/>
        <v>18.409999999999997</v>
      </c>
      <c r="T159" s="30">
        <f t="shared" si="149"/>
        <v>19.724999999999998</v>
      </c>
      <c r="U159" s="30">
        <f t="shared" si="143"/>
        <v>26.299999999999997</v>
      </c>
      <c r="V159" s="30">
        <f t="shared" si="144"/>
        <v>52.599999999999994</v>
      </c>
      <c r="W159" s="22"/>
      <c r="X159" s="23">
        <f t="shared" si="131"/>
        <v>36820</v>
      </c>
      <c r="Y159" s="23"/>
      <c r="Z159" s="23">
        <f t="shared" si="132"/>
        <v>63120</v>
      </c>
      <c r="AA159" s="23">
        <f t="shared" ref="AA159:AB160" si="234">T159*4000</f>
        <v>78899.999999999985</v>
      </c>
      <c r="AB159" s="23">
        <f t="shared" si="234"/>
        <v>105199.99999999999</v>
      </c>
      <c r="AE159" s="36">
        <f t="shared" si="133"/>
        <v>3.23</v>
      </c>
      <c r="AF159" s="37">
        <f t="shared" si="145"/>
        <v>3136.33</v>
      </c>
      <c r="AG159" s="28">
        <f t="shared" si="134"/>
        <v>15322.38</v>
      </c>
      <c r="AH159" s="28">
        <f t="shared" si="151"/>
        <v>19152.974999999999</v>
      </c>
      <c r="AI159" s="28">
        <f t="shared" si="151"/>
        <v>25537.299999999996</v>
      </c>
      <c r="AJ159" s="28">
        <f t="shared" si="151"/>
        <v>51074.599999999991</v>
      </c>
      <c r="AK159" s="38"/>
      <c r="AL159" s="39">
        <v>3.23</v>
      </c>
      <c r="AM159" s="40">
        <f t="shared" si="146"/>
        <v>200.26</v>
      </c>
      <c r="AN159" s="28">
        <f t="shared" si="135"/>
        <v>978.36</v>
      </c>
      <c r="AO159" s="28">
        <f t="shared" si="152"/>
        <v>1222.9499999999998</v>
      </c>
      <c r="AP159" s="28">
        <f t="shared" si="152"/>
        <v>1630.6</v>
      </c>
      <c r="AQ159" s="28">
        <f t="shared" si="152"/>
        <v>3261.2</v>
      </c>
      <c r="AS159" s="28">
        <f t="shared" si="136"/>
        <v>121.506</v>
      </c>
      <c r="AT159" s="28">
        <f t="shared" si="153"/>
        <v>151.88249999999999</v>
      </c>
      <c r="AU159" s="28">
        <f t="shared" si="153"/>
        <v>202.51</v>
      </c>
      <c r="AV159" s="28">
        <f t="shared" si="153"/>
        <v>405.02</v>
      </c>
      <c r="AX159" s="31">
        <f t="shared" si="137"/>
        <v>7890</v>
      </c>
      <c r="AY159" s="31">
        <f t="shared" si="154"/>
        <v>9862.4999999999982</v>
      </c>
      <c r="AZ159" s="31">
        <f t="shared" si="154"/>
        <v>13149.999999999998</v>
      </c>
      <c r="BA159" s="31">
        <f t="shared" si="154"/>
        <v>26299.999999999996</v>
      </c>
      <c r="BD159" s="55">
        <f t="shared" si="155"/>
        <v>68.051249999999996</v>
      </c>
      <c r="BE159" s="55">
        <f t="shared" si="156"/>
        <v>90.734999999999999</v>
      </c>
      <c r="BF159" s="55">
        <f t="shared" si="157"/>
        <v>181.47</v>
      </c>
      <c r="BI159" s="55">
        <f t="shared" si="158"/>
        <v>354.06374999999997</v>
      </c>
      <c r="BJ159" s="55">
        <f t="shared" si="159"/>
        <v>472.08499999999992</v>
      </c>
      <c r="BK159" s="55">
        <f t="shared" si="160"/>
        <v>944.16999999999985</v>
      </c>
      <c r="BN159" s="56">
        <f t="shared" si="161"/>
        <v>127245.97499999999</v>
      </c>
      <c r="BO159" s="56">
        <f t="shared" si="162"/>
        <v>169661.3</v>
      </c>
      <c r="BP159" s="56">
        <f t="shared" si="163"/>
        <v>339322.6</v>
      </c>
      <c r="BR159" s="54"/>
    </row>
    <row r="160" spans="1:70" x14ac:dyDescent="0.2">
      <c r="A160" s="14">
        <v>54890</v>
      </c>
      <c r="B160" s="21" t="s">
        <v>99</v>
      </c>
      <c r="C160" s="17" t="s">
        <v>16</v>
      </c>
      <c r="D160" s="17" t="s">
        <v>5</v>
      </c>
      <c r="E160" s="18">
        <v>1.64</v>
      </c>
      <c r="F160" s="24">
        <v>2.63</v>
      </c>
      <c r="G160" s="20" t="s">
        <v>6</v>
      </c>
      <c r="H160" s="11">
        <v>40</v>
      </c>
      <c r="I160" s="17">
        <f t="shared" si="147"/>
        <v>3.31</v>
      </c>
      <c r="J160" s="22">
        <f t="shared" si="138"/>
        <v>3.83</v>
      </c>
      <c r="K160" s="22">
        <f t="shared" si="139"/>
        <v>4.5</v>
      </c>
      <c r="L160" s="22">
        <f t="shared" si="127"/>
        <v>6.62</v>
      </c>
      <c r="M160" s="22">
        <f t="shared" si="128"/>
        <v>8.2750000000000004</v>
      </c>
      <c r="N160" s="22">
        <f t="shared" si="129"/>
        <v>9.93</v>
      </c>
      <c r="O160" s="22">
        <f t="shared" si="130"/>
        <v>11.585000000000001</v>
      </c>
      <c r="P160" s="30">
        <f t="shared" si="148"/>
        <v>19.860000000000003</v>
      </c>
      <c r="Q160" s="30">
        <f t="shared" si="140"/>
        <v>22.342500000000005</v>
      </c>
      <c r="R160" s="30">
        <f t="shared" si="141"/>
        <v>23.583750000000002</v>
      </c>
      <c r="S160" s="30">
        <f t="shared" si="142"/>
        <v>23.169999999999998</v>
      </c>
      <c r="T160" s="30">
        <f t="shared" si="149"/>
        <v>24.825000000000003</v>
      </c>
      <c r="U160" s="30">
        <f t="shared" si="143"/>
        <v>33.1</v>
      </c>
      <c r="V160" s="30">
        <f t="shared" si="144"/>
        <v>66.2</v>
      </c>
      <c r="W160" s="22"/>
      <c r="X160" s="23">
        <f t="shared" si="131"/>
        <v>46340</v>
      </c>
      <c r="Y160" s="23"/>
      <c r="Z160" s="23">
        <f t="shared" si="132"/>
        <v>79440.000000000015</v>
      </c>
      <c r="AA160" s="23">
        <f t="shared" si="234"/>
        <v>99300.000000000015</v>
      </c>
      <c r="AB160" s="23">
        <f t="shared" si="234"/>
        <v>132400</v>
      </c>
      <c r="AE160" s="36">
        <f t="shared" si="133"/>
        <v>3.91</v>
      </c>
      <c r="AF160" s="37">
        <f t="shared" si="145"/>
        <v>3796.61</v>
      </c>
      <c r="AG160" s="28">
        <f t="shared" si="134"/>
        <v>19284.060000000001</v>
      </c>
      <c r="AH160" s="28">
        <f t="shared" si="151"/>
        <v>24105.075000000004</v>
      </c>
      <c r="AI160" s="28">
        <f t="shared" si="151"/>
        <v>32140.100000000002</v>
      </c>
      <c r="AJ160" s="28">
        <f t="shared" si="151"/>
        <v>64280.200000000004</v>
      </c>
      <c r="AK160" s="38"/>
      <c r="AL160" s="39">
        <v>3.91</v>
      </c>
      <c r="AM160" s="40">
        <f t="shared" si="146"/>
        <v>242.42000000000002</v>
      </c>
      <c r="AN160" s="28">
        <f t="shared" si="135"/>
        <v>1231.3200000000002</v>
      </c>
      <c r="AO160" s="28">
        <f t="shared" si="152"/>
        <v>1539.15</v>
      </c>
      <c r="AP160" s="28">
        <f t="shared" si="152"/>
        <v>2052.2000000000003</v>
      </c>
      <c r="AQ160" s="28">
        <f t="shared" si="152"/>
        <v>4104.4000000000005</v>
      </c>
      <c r="AS160" s="28">
        <f t="shared" si="136"/>
        <v>152.92200000000003</v>
      </c>
      <c r="AT160" s="28">
        <f t="shared" si="153"/>
        <v>191.15250000000003</v>
      </c>
      <c r="AU160" s="28">
        <f t="shared" si="153"/>
        <v>254.87</v>
      </c>
      <c r="AV160" s="28">
        <f t="shared" si="153"/>
        <v>509.74</v>
      </c>
      <c r="AX160" s="31">
        <f t="shared" si="137"/>
        <v>9930.0000000000018</v>
      </c>
      <c r="AY160" s="31">
        <f t="shared" si="154"/>
        <v>12412.500000000002</v>
      </c>
      <c r="AZ160" s="31">
        <f t="shared" si="154"/>
        <v>16550</v>
      </c>
      <c r="BA160" s="31">
        <f t="shared" si="154"/>
        <v>33100</v>
      </c>
      <c r="BD160" s="55">
        <f t="shared" si="155"/>
        <v>85.646250000000009</v>
      </c>
      <c r="BE160" s="55">
        <f t="shared" si="156"/>
        <v>114.19500000000001</v>
      </c>
      <c r="BF160" s="55">
        <f t="shared" si="157"/>
        <v>228.39000000000001</v>
      </c>
      <c r="BI160" s="55">
        <f t="shared" si="158"/>
        <v>445.60875000000004</v>
      </c>
      <c r="BJ160" s="55">
        <f t="shared" si="159"/>
        <v>594.14499999999998</v>
      </c>
      <c r="BK160" s="55">
        <f t="shared" si="160"/>
        <v>1188.29</v>
      </c>
      <c r="BN160" s="56">
        <f t="shared" si="161"/>
        <v>160146.07500000001</v>
      </c>
      <c r="BO160" s="56">
        <f t="shared" si="162"/>
        <v>213528.1</v>
      </c>
      <c r="BP160" s="56">
        <f t="shared" si="163"/>
        <v>427056.2</v>
      </c>
    </row>
    <row r="161" spans="1:15" x14ac:dyDescent="0.2">
      <c r="A161" s="10"/>
      <c r="B161" s="10"/>
      <c r="F161" s="10"/>
      <c r="I161" s="1"/>
      <c r="J161" s="1"/>
      <c r="K161" s="1"/>
      <c r="L161" s="1"/>
      <c r="M161" s="1"/>
      <c r="N161" s="1"/>
      <c r="O161" s="1"/>
    </row>
    <row r="162" spans="1:15" x14ac:dyDescent="0.2">
      <c r="G162" s="1" t="s">
        <v>3</v>
      </c>
      <c r="H162" s="1">
        <f>SUM(H22:H161)</f>
        <v>2855</v>
      </c>
      <c r="I162" s="1"/>
      <c r="J162" s="1"/>
      <c r="K162" s="1"/>
      <c r="L162" s="1"/>
      <c r="M162" s="1"/>
      <c r="N162" s="1"/>
      <c r="O162" s="1"/>
    </row>
    <row r="163" spans="1:15" x14ac:dyDescent="0.2">
      <c r="A163" s="10"/>
      <c r="B163" s="10"/>
      <c r="I163" s="1"/>
      <c r="J163" s="1"/>
      <c r="K163" s="1"/>
      <c r="L163" s="1"/>
      <c r="M163" s="1"/>
      <c r="N163" s="1"/>
      <c r="O163" s="1"/>
    </row>
    <row r="164" spans="1:15" x14ac:dyDescent="0.2">
      <c r="A164" s="10"/>
      <c r="B164" s="10"/>
      <c r="F164" s="2"/>
      <c r="I164" s="1"/>
      <c r="J164" s="1"/>
      <c r="K164" s="1"/>
      <c r="L164" s="1"/>
      <c r="M164" s="1"/>
      <c r="N164" s="1"/>
      <c r="O164" s="1"/>
    </row>
    <row r="165" spans="1:15" x14ac:dyDescent="0.2">
      <c r="A165" s="10"/>
      <c r="B165" s="10"/>
      <c r="F165" s="2"/>
      <c r="I165" s="1"/>
      <c r="J165" s="1"/>
      <c r="K165" s="1"/>
      <c r="L165" s="1"/>
      <c r="M165" s="1"/>
      <c r="N165" s="1"/>
      <c r="O165" s="1"/>
    </row>
    <row r="166" spans="1:15" x14ac:dyDescent="0.2">
      <c r="A166" s="10"/>
      <c r="B166" s="10"/>
      <c r="E166" s="2" t="s">
        <v>2</v>
      </c>
      <c r="F166" s="4" t="s">
        <v>37</v>
      </c>
      <c r="I166" s="1"/>
      <c r="J166" s="1"/>
      <c r="K166" s="1"/>
      <c r="L166" s="1"/>
      <c r="M166" s="1"/>
      <c r="N166" s="1"/>
      <c r="O166" s="1"/>
    </row>
    <row r="167" spans="1:15" x14ac:dyDescent="0.2">
      <c r="A167" s="10"/>
      <c r="B167" s="10"/>
      <c r="C167" s="1" t="s">
        <v>17</v>
      </c>
      <c r="D167" s="1" t="s">
        <v>10</v>
      </c>
      <c r="E167" s="2">
        <v>2.2799999999999998</v>
      </c>
      <c r="F167" s="4"/>
      <c r="G167" s="1" t="s">
        <v>31</v>
      </c>
      <c r="I167" s="1"/>
      <c r="J167" s="1"/>
      <c r="K167" s="1"/>
      <c r="L167" s="1"/>
      <c r="M167" s="1"/>
      <c r="N167" s="1"/>
      <c r="O167" s="1"/>
    </row>
    <row r="168" spans="1:15" x14ac:dyDescent="0.2">
      <c r="A168" s="10"/>
      <c r="B168" s="10"/>
      <c r="F168" s="4"/>
      <c r="G168" s="1" t="s">
        <v>31</v>
      </c>
      <c r="I168" s="1"/>
      <c r="J168" s="1"/>
      <c r="K168" s="1"/>
      <c r="L168" s="1"/>
      <c r="M168" s="1"/>
      <c r="N168" s="1"/>
      <c r="O168" s="1"/>
    </row>
    <row r="169" spans="1:15" x14ac:dyDescent="0.2">
      <c r="A169" s="10"/>
      <c r="B169" s="10"/>
      <c r="C169" s="1" t="s">
        <v>17</v>
      </c>
      <c r="D169" s="1" t="s">
        <v>5</v>
      </c>
      <c r="E169" s="2">
        <v>0.75</v>
      </c>
      <c r="F169" s="2"/>
      <c r="H169" s="5"/>
      <c r="I169" s="1"/>
      <c r="J169" s="1"/>
      <c r="K169" s="1"/>
      <c r="L169" s="1"/>
      <c r="M169" s="1"/>
      <c r="N169" s="1"/>
      <c r="O169" s="1"/>
    </row>
    <row r="170" spans="1:15" x14ac:dyDescent="0.2">
      <c r="A170" s="10"/>
      <c r="B170" s="10"/>
      <c r="F170" s="2"/>
      <c r="I170" s="1"/>
      <c r="J170" s="1"/>
      <c r="K170" s="1"/>
      <c r="L170" s="1"/>
      <c r="M170" s="1"/>
      <c r="N170" s="1"/>
      <c r="O170" s="1"/>
    </row>
    <row r="171" spans="1:15" x14ac:dyDescent="0.2">
      <c r="A171" s="10"/>
      <c r="B171" s="10"/>
      <c r="F171" s="2"/>
      <c r="I171" s="1"/>
      <c r="J171" s="1"/>
      <c r="K171" s="1"/>
      <c r="L171" s="1"/>
      <c r="M171" s="1"/>
      <c r="N171" s="1"/>
      <c r="O171" s="1"/>
    </row>
    <row r="172" spans="1:15" x14ac:dyDescent="0.2">
      <c r="A172" s="10"/>
      <c r="B172" s="10"/>
      <c r="F172" s="2"/>
      <c r="I172" s="1"/>
      <c r="J172" s="1"/>
      <c r="K172" s="1"/>
      <c r="L172" s="1"/>
      <c r="M172" s="1"/>
      <c r="N172" s="1"/>
      <c r="O172" s="1"/>
    </row>
    <row r="173" spans="1:15" x14ac:dyDescent="0.2">
      <c r="A173" s="10"/>
      <c r="B173" s="10"/>
      <c r="F173" s="2"/>
      <c r="I173" s="1"/>
      <c r="J173" s="1"/>
      <c r="K173" s="1"/>
      <c r="L173" s="1"/>
      <c r="M173" s="1"/>
      <c r="N173" s="1"/>
      <c r="O173" s="1"/>
    </row>
    <row r="174" spans="1:15" x14ac:dyDescent="0.2">
      <c r="A174" s="10"/>
      <c r="B174" s="10"/>
      <c r="E174" s="2" t="s">
        <v>2</v>
      </c>
      <c r="F174" s="2"/>
      <c r="I174" s="1"/>
      <c r="J174" s="1"/>
      <c r="K174" s="1"/>
      <c r="L174" s="1"/>
      <c r="M174" s="1"/>
      <c r="N174" s="1"/>
      <c r="O174" s="1"/>
    </row>
    <row r="175" spans="1:15" x14ac:dyDescent="0.2">
      <c r="A175" s="10"/>
      <c r="B175" s="10"/>
      <c r="C175" s="1" t="s">
        <v>4</v>
      </c>
      <c r="D175" s="1" t="s">
        <v>10</v>
      </c>
      <c r="E175" s="2">
        <v>1.72</v>
      </c>
      <c r="F175" s="2">
        <v>2.71</v>
      </c>
      <c r="G175" s="1" t="s">
        <v>32</v>
      </c>
      <c r="I175" s="1"/>
      <c r="J175" s="1"/>
      <c r="K175" s="1"/>
      <c r="L175" s="1"/>
      <c r="M175" s="1"/>
      <c r="N175" s="1"/>
      <c r="O175" s="1"/>
    </row>
    <row r="176" spans="1:15" x14ac:dyDescent="0.2">
      <c r="A176" s="10"/>
      <c r="B176" s="10"/>
      <c r="C176" s="1" t="s">
        <v>18</v>
      </c>
      <c r="D176" s="1" t="s">
        <v>10</v>
      </c>
      <c r="E176" s="2">
        <v>1.92</v>
      </c>
      <c r="F176" s="2">
        <v>3.25</v>
      </c>
      <c r="G176" s="1" t="s">
        <v>32</v>
      </c>
      <c r="I176" s="1"/>
      <c r="J176" s="1"/>
      <c r="K176" s="1"/>
      <c r="L176" s="1"/>
      <c r="M176" s="1"/>
      <c r="N176" s="1"/>
      <c r="O176" s="1"/>
    </row>
    <row r="177" spans="1:15" x14ac:dyDescent="0.2">
      <c r="A177" s="10"/>
      <c r="B177" s="10"/>
      <c r="C177" s="1" t="s">
        <v>17</v>
      </c>
      <c r="D177" s="1" t="s">
        <v>10</v>
      </c>
      <c r="E177" s="2">
        <v>2.02</v>
      </c>
      <c r="F177" s="2"/>
      <c r="G177" s="1" t="s">
        <v>32</v>
      </c>
      <c r="I177" s="1"/>
      <c r="J177" s="1"/>
      <c r="K177" s="1"/>
      <c r="L177" s="1"/>
      <c r="M177" s="1"/>
      <c r="N177" s="1"/>
      <c r="O177" s="1"/>
    </row>
    <row r="178" spans="1:15" x14ac:dyDescent="0.2">
      <c r="A178" s="10"/>
      <c r="B178" s="10"/>
      <c r="F178" s="2"/>
      <c r="G178" s="1" t="s">
        <v>32</v>
      </c>
      <c r="I178" s="1"/>
      <c r="J178" s="1"/>
      <c r="K178" s="1"/>
      <c r="L178" s="1"/>
      <c r="M178" s="1"/>
      <c r="N178" s="1"/>
      <c r="O178" s="1"/>
    </row>
    <row r="179" spans="1:15" x14ac:dyDescent="0.2">
      <c r="A179" s="10"/>
      <c r="B179" s="10"/>
      <c r="C179" s="1" t="s">
        <v>4</v>
      </c>
      <c r="D179" s="1" t="s">
        <v>5</v>
      </c>
      <c r="E179" s="2">
        <v>0.85</v>
      </c>
      <c r="F179" s="2">
        <v>1.32</v>
      </c>
      <c r="G179" s="1" t="s">
        <v>32</v>
      </c>
      <c r="I179" s="1"/>
      <c r="J179" s="1"/>
      <c r="K179" s="1"/>
      <c r="L179" s="1"/>
      <c r="M179" s="1"/>
      <c r="N179" s="1"/>
      <c r="O179" s="1"/>
    </row>
    <row r="180" spans="1:15" x14ac:dyDescent="0.2">
      <c r="A180" s="10"/>
      <c r="B180" s="10"/>
      <c r="C180" s="1" t="s">
        <v>18</v>
      </c>
      <c r="D180" s="1" t="s">
        <v>5</v>
      </c>
      <c r="E180" s="2">
        <v>0.94</v>
      </c>
      <c r="F180" s="2">
        <v>1.48</v>
      </c>
      <c r="G180" s="1" t="s">
        <v>32</v>
      </c>
      <c r="I180" s="1"/>
      <c r="J180" s="1"/>
      <c r="K180" s="1"/>
      <c r="L180" s="1"/>
      <c r="M180" s="1"/>
      <c r="N180" s="1"/>
      <c r="O180" s="1"/>
    </row>
    <row r="181" spans="1:15" x14ac:dyDescent="0.2">
      <c r="A181" s="10"/>
      <c r="B181" s="10"/>
      <c r="C181" s="1" t="s">
        <v>17</v>
      </c>
      <c r="D181" s="1" t="s">
        <v>5</v>
      </c>
      <c r="E181" s="2">
        <v>1.02</v>
      </c>
      <c r="F181" s="2"/>
      <c r="G181" s="1" t="s">
        <v>32</v>
      </c>
      <c r="I181" s="1"/>
      <c r="J181" s="1"/>
      <c r="K181" s="1"/>
      <c r="L181" s="1"/>
      <c r="M181" s="1"/>
      <c r="N181" s="1"/>
      <c r="O181" s="1"/>
    </row>
    <row r="182" spans="1:15" x14ac:dyDescent="0.2">
      <c r="A182" s="10"/>
      <c r="B182" s="10"/>
      <c r="F182" s="2"/>
      <c r="I182" s="1"/>
      <c r="J182" s="1"/>
      <c r="K182" s="1"/>
      <c r="L182" s="1"/>
      <c r="M182" s="1"/>
      <c r="N182" s="1"/>
      <c r="O182" s="1"/>
    </row>
    <row r="183" spans="1:15" x14ac:dyDescent="0.2">
      <c r="A183" s="10"/>
      <c r="B183" s="10"/>
      <c r="F183" s="2"/>
      <c r="I183" s="1"/>
      <c r="J183" s="1"/>
      <c r="K183" s="1"/>
      <c r="L183" s="1"/>
      <c r="M183" s="1"/>
      <c r="N183" s="1"/>
      <c r="O183" s="1"/>
    </row>
    <row r="184" spans="1:15" x14ac:dyDescent="0.2">
      <c r="A184" s="10"/>
      <c r="B184" s="10"/>
      <c r="F184" s="2"/>
      <c r="I184" s="1"/>
      <c r="J184" s="1"/>
      <c r="K184" s="1"/>
      <c r="L184" s="1"/>
      <c r="M184" s="1"/>
      <c r="N184" s="1"/>
      <c r="O184" s="1"/>
    </row>
    <row r="185" spans="1:15" x14ac:dyDescent="0.2">
      <c r="A185" s="10"/>
      <c r="B185" s="10"/>
      <c r="E185" s="2" t="s">
        <v>2</v>
      </c>
      <c r="F185" s="2"/>
      <c r="I185" s="1"/>
      <c r="J185" s="1"/>
      <c r="K185" s="1"/>
      <c r="L185" s="1"/>
      <c r="M185" s="1"/>
      <c r="N185" s="1"/>
      <c r="O185" s="1"/>
    </row>
    <row r="186" spans="1:15" x14ac:dyDescent="0.2">
      <c r="A186" s="10"/>
      <c r="B186" s="10"/>
      <c r="C186" s="1" t="s">
        <v>11</v>
      </c>
      <c r="D186" s="1" t="s">
        <v>12</v>
      </c>
      <c r="E186" s="2">
        <v>4.5999999999999996</v>
      </c>
      <c r="F186" s="2"/>
      <c r="G186" s="1" t="s">
        <v>33</v>
      </c>
      <c r="I186" s="1"/>
      <c r="J186" s="1"/>
      <c r="K186" s="1"/>
      <c r="L186" s="1"/>
      <c r="M186" s="1"/>
      <c r="N186" s="1"/>
      <c r="O186" s="1"/>
    </row>
    <row r="187" spans="1:15" x14ac:dyDescent="0.2">
      <c r="A187" s="10"/>
      <c r="B187" s="10"/>
      <c r="C187" s="1" t="s">
        <v>11</v>
      </c>
      <c r="D187" s="1" t="s">
        <v>24</v>
      </c>
      <c r="E187" s="2">
        <v>6.3</v>
      </c>
      <c r="F187" s="2"/>
      <c r="G187" s="1" t="s">
        <v>33</v>
      </c>
      <c r="I187" s="1"/>
      <c r="J187" s="1"/>
      <c r="K187" s="1"/>
      <c r="L187" s="1"/>
      <c r="M187" s="1"/>
      <c r="N187" s="1"/>
      <c r="O187" s="1"/>
    </row>
    <row r="188" spans="1:15" x14ac:dyDescent="0.2">
      <c r="A188" s="10"/>
      <c r="B188" s="10"/>
      <c r="C188" s="1" t="s">
        <v>4</v>
      </c>
      <c r="D188" s="1" t="s">
        <v>24</v>
      </c>
      <c r="E188" s="2">
        <v>6.6</v>
      </c>
      <c r="F188" s="2"/>
      <c r="G188" s="1" t="s">
        <v>33</v>
      </c>
      <c r="I188" s="1"/>
      <c r="J188" s="1"/>
      <c r="K188" s="1"/>
      <c r="L188" s="1"/>
      <c r="M188" s="1"/>
      <c r="N188" s="1"/>
      <c r="O188" s="1"/>
    </row>
    <row r="189" spans="1:15" x14ac:dyDescent="0.2">
      <c r="A189" s="10"/>
      <c r="B189" s="10"/>
      <c r="F189" s="2"/>
      <c r="G189" s="1" t="s">
        <v>33</v>
      </c>
      <c r="I189" s="1"/>
      <c r="J189" s="1"/>
      <c r="K189" s="1"/>
      <c r="L189" s="1"/>
      <c r="M189" s="1"/>
      <c r="N189" s="1"/>
      <c r="O189" s="1"/>
    </row>
    <row r="190" spans="1:15" x14ac:dyDescent="0.2">
      <c r="A190" s="10"/>
      <c r="B190" s="10"/>
      <c r="C190" s="1" t="s">
        <v>11</v>
      </c>
      <c r="D190" s="1" t="s">
        <v>5</v>
      </c>
      <c r="E190" s="2">
        <v>2.2999999999999998</v>
      </c>
      <c r="F190" s="2"/>
      <c r="G190" s="1" t="s">
        <v>33</v>
      </c>
      <c r="I190" s="1"/>
      <c r="J190" s="1"/>
      <c r="K190" s="1"/>
      <c r="L190" s="1"/>
      <c r="M190" s="1"/>
      <c r="N190" s="1"/>
      <c r="O190" s="1"/>
    </row>
    <row r="191" spans="1:15" x14ac:dyDescent="0.2">
      <c r="A191" s="10"/>
      <c r="B191" s="10"/>
      <c r="C191" s="1" t="s">
        <v>4</v>
      </c>
      <c r="D191" s="1" t="s">
        <v>5</v>
      </c>
      <c r="E191" s="2">
        <v>2.4</v>
      </c>
      <c r="F191" s="2"/>
      <c r="G191" s="1" t="s">
        <v>33</v>
      </c>
      <c r="I191" s="1"/>
      <c r="J191" s="1"/>
      <c r="K191" s="1"/>
      <c r="L191" s="1"/>
      <c r="M191" s="1"/>
      <c r="N191" s="1"/>
      <c r="O191" s="1"/>
    </row>
    <row r="192" spans="1:15" x14ac:dyDescent="0.2">
      <c r="A192" s="10"/>
      <c r="B192" s="10"/>
      <c r="C192" s="1" t="s">
        <v>11</v>
      </c>
      <c r="D192" s="1" t="s">
        <v>20</v>
      </c>
      <c r="E192" s="2">
        <v>2.25</v>
      </c>
      <c r="F192" s="2"/>
      <c r="G192" s="1" t="s">
        <v>33</v>
      </c>
      <c r="I192" s="1"/>
      <c r="J192" s="1"/>
      <c r="K192" s="1"/>
      <c r="L192" s="1"/>
      <c r="M192" s="1"/>
      <c r="N192" s="1"/>
      <c r="O192" s="1"/>
    </row>
    <row r="193" spans="1:15" x14ac:dyDescent="0.2">
      <c r="A193" s="10"/>
      <c r="B193" s="10"/>
      <c r="F193" s="2"/>
      <c r="I193" s="1"/>
      <c r="J193" s="1"/>
      <c r="K193" s="1"/>
      <c r="L193" s="1"/>
      <c r="M193" s="1"/>
      <c r="N193" s="1"/>
      <c r="O193" s="1"/>
    </row>
    <row r="194" spans="1:15" x14ac:dyDescent="0.2">
      <c r="A194" s="10"/>
      <c r="B194" s="10"/>
      <c r="F194" s="2"/>
      <c r="I194" s="1"/>
      <c r="J194" s="1"/>
      <c r="K194" s="1"/>
      <c r="L194" s="1"/>
      <c r="M194" s="1"/>
      <c r="N194" s="1"/>
      <c r="O194" s="1"/>
    </row>
    <row r="195" spans="1:15" x14ac:dyDescent="0.2">
      <c r="A195" s="10"/>
      <c r="B195" s="10"/>
      <c r="F195" s="2"/>
      <c r="I195" s="1"/>
      <c r="J195" s="1"/>
      <c r="K195" s="1"/>
      <c r="L195" s="1"/>
      <c r="M195" s="1"/>
      <c r="N195" s="1"/>
      <c r="O195" s="1"/>
    </row>
    <row r="196" spans="1:15" x14ac:dyDescent="0.2">
      <c r="A196" s="10"/>
      <c r="B196" s="10"/>
      <c r="E196" s="2" t="s">
        <v>2</v>
      </c>
      <c r="F196" s="2"/>
      <c r="I196" s="1"/>
      <c r="J196" s="1"/>
      <c r="K196" s="1"/>
      <c r="L196" s="1"/>
      <c r="M196" s="1"/>
      <c r="N196" s="1"/>
      <c r="O196" s="1"/>
    </row>
    <row r="197" spans="1:15" x14ac:dyDescent="0.2">
      <c r="A197" s="10"/>
      <c r="B197" s="10"/>
      <c r="C197" s="1" t="s">
        <v>11</v>
      </c>
      <c r="D197" s="1" t="s">
        <v>12</v>
      </c>
      <c r="E197" s="2">
        <v>0.64</v>
      </c>
      <c r="F197" s="2"/>
      <c r="G197" s="1" t="s">
        <v>29</v>
      </c>
      <c r="I197" s="1"/>
      <c r="J197" s="1"/>
      <c r="K197" s="1"/>
      <c r="L197" s="1"/>
      <c r="M197" s="1"/>
      <c r="N197" s="1"/>
      <c r="O197" s="1"/>
    </row>
    <row r="198" spans="1:15" x14ac:dyDescent="0.2">
      <c r="A198" s="10"/>
      <c r="B198" s="10"/>
      <c r="F198" s="2"/>
      <c r="I198" s="1"/>
      <c r="J198" s="1"/>
      <c r="K198" s="1"/>
      <c r="L198" s="1"/>
      <c r="M198" s="1"/>
      <c r="N198" s="1"/>
      <c r="O198" s="1"/>
    </row>
    <row r="199" spans="1:15" x14ac:dyDescent="0.2">
      <c r="A199" s="10"/>
      <c r="B199" s="10"/>
      <c r="E199" s="2" t="s">
        <v>2</v>
      </c>
      <c r="F199" s="2"/>
      <c r="I199" s="1"/>
      <c r="J199" s="1"/>
      <c r="K199" s="1"/>
      <c r="L199" s="1"/>
      <c r="M199" s="1"/>
      <c r="N199" s="1"/>
      <c r="O199" s="1"/>
    </row>
    <row r="200" spans="1:15" x14ac:dyDescent="0.2">
      <c r="A200" s="10"/>
      <c r="B200" s="10"/>
      <c r="C200" s="1" t="s">
        <v>22</v>
      </c>
      <c r="D200" s="1" t="s">
        <v>12</v>
      </c>
      <c r="E200" s="2">
        <v>0.82285714285714295</v>
      </c>
      <c r="G200" s="1" t="s">
        <v>35</v>
      </c>
      <c r="I200" s="1"/>
      <c r="J200" s="1"/>
      <c r="K200" s="1"/>
      <c r="L200" s="1"/>
      <c r="M200" s="1"/>
      <c r="N200" s="1"/>
      <c r="O200" s="1"/>
    </row>
    <row r="201" spans="1:15" x14ac:dyDescent="0.2">
      <c r="A201" s="10"/>
      <c r="B201" s="10"/>
      <c r="F201" s="2"/>
      <c r="I201" s="1"/>
      <c r="J201" s="1"/>
      <c r="K201" s="1"/>
      <c r="L201" s="1"/>
      <c r="M201" s="1"/>
      <c r="N201" s="1"/>
      <c r="O201" s="1"/>
    </row>
    <row r="202" spans="1:15" x14ac:dyDescent="0.2">
      <c r="A202" s="10"/>
      <c r="B202" s="10"/>
      <c r="F202" s="2"/>
      <c r="I202" s="1"/>
      <c r="J202" s="1"/>
      <c r="K202" s="1"/>
      <c r="L202" s="1"/>
      <c r="M202" s="1"/>
      <c r="N202" s="1"/>
      <c r="O202" s="1"/>
    </row>
    <row r="203" spans="1:15" x14ac:dyDescent="0.2">
      <c r="A203" s="10"/>
      <c r="B203" s="10"/>
      <c r="E203" s="2" t="s">
        <v>2</v>
      </c>
      <c r="F203" s="2"/>
      <c r="I203" s="1"/>
      <c r="J203" s="1"/>
      <c r="K203" s="1"/>
      <c r="L203" s="1"/>
      <c r="M203" s="1"/>
      <c r="N203" s="1"/>
      <c r="O203" s="1"/>
    </row>
    <row r="204" spans="1:15" x14ac:dyDescent="0.2">
      <c r="A204" s="10"/>
      <c r="B204" s="10"/>
      <c r="C204" s="1" t="s">
        <v>14</v>
      </c>
      <c r="D204" s="1" t="s">
        <v>5</v>
      </c>
      <c r="E204" s="2">
        <v>1.35</v>
      </c>
      <c r="F204" s="2"/>
      <c r="G204" s="1" t="s">
        <v>34</v>
      </c>
      <c r="I204" s="1"/>
      <c r="J204" s="1"/>
      <c r="K204" s="1"/>
      <c r="L204" s="1"/>
      <c r="M204" s="1"/>
      <c r="N204" s="1"/>
      <c r="O204" s="1"/>
    </row>
    <row r="205" spans="1:15" x14ac:dyDescent="0.2">
      <c r="A205" s="10"/>
      <c r="B205" s="10"/>
      <c r="E205" s="1"/>
      <c r="I205" s="1"/>
      <c r="J205" s="1"/>
      <c r="K205" s="1"/>
      <c r="L205" s="1"/>
      <c r="M205" s="1"/>
      <c r="N205" s="1"/>
      <c r="O205" s="1"/>
    </row>
    <row r="206" spans="1:15" x14ac:dyDescent="0.2">
      <c r="A206" s="10"/>
      <c r="B206" s="10"/>
      <c r="E206" s="1"/>
      <c r="I206" s="1"/>
      <c r="J206" s="1"/>
      <c r="K206" s="1"/>
      <c r="L206" s="1"/>
      <c r="M206" s="1"/>
      <c r="N206" s="1"/>
      <c r="O206" s="1"/>
    </row>
    <row r="207" spans="1:15" x14ac:dyDescent="0.2">
      <c r="A207" s="10"/>
      <c r="B207" s="10"/>
      <c r="E207" s="1"/>
      <c r="I207" s="1"/>
      <c r="J207" s="1"/>
      <c r="K207" s="1"/>
      <c r="L207" s="1"/>
      <c r="M207" s="1"/>
      <c r="N207" s="1"/>
      <c r="O207" s="1"/>
    </row>
    <row r="208" spans="1:15" x14ac:dyDescent="0.2">
      <c r="A208" s="10"/>
      <c r="B208" s="10"/>
      <c r="E208" s="1"/>
      <c r="I208" s="1"/>
      <c r="J208" s="1"/>
      <c r="K208" s="1"/>
      <c r="L208" s="1"/>
      <c r="M208" s="1"/>
      <c r="N208" s="1"/>
      <c r="O208" s="1"/>
    </row>
    <row r="209" spans="1:15" x14ac:dyDescent="0.2">
      <c r="A209" s="10"/>
      <c r="B209" s="10"/>
      <c r="E209" s="1"/>
      <c r="I209" s="1"/>
      <c r="J209" s="1"/>
      <c r="K209" s="1"/>
      <c r="L209" s="1"/>
      <c r="M209" s="1"/>
      <c r="N209" s="1"/>
      <c r="O209" s="1"/>
    </row>
    <row r="210" spans="1:15" x14ac:dyDescent="0.2">
      <c r="A210" s="10"/>
      <c r="B210" s="10"/>
      <c r="E210" s="1"/>
      <c r="I210" s="1"/>
      <c r="J210" s="1"/>
      <c r="K210" s="1"/>
      <c r="L210" s="1"/>
      <c r="M210" s="1"/>
      <c r="N210" s="1"/>
      <c r="O210" s="1"/>
    </row>
    <row r="211" spans="1:15" x14ac:dyDescent="0.2">
      <c r="A211" s="10"/>
      <c r="B211" s="10"/>
      <c r="E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10"/>
      <c r="B212" s="10"/>
      <c r="E212" s="1"/>
      <c r="I212" s="1"/>
      <c r="J212" s="1"/>
      <c r="K212" s="1"/>
      <c r="L212" s="1"/>
      <c r="M212" s="1"/>
      <c r="N212" s="1"/>
      <c r="O212" s="1"/>
    </row>
    <row r="213" spans="1:15" x14ac:dyDescent="0.2">
      <c r="A213" s="10"/>
      <c r="B213" s="10"/>
      <c r="E213" s="1"/>
      <c r="I213" s="1"/>
      <c r="J213" s="1"/>
      <c r="K213" s="1"/>
      <c r="L213" s="1"/>
      <c r="M213" s="1"/>
      <c r="N213" s="1"/>
      <c r="O213" s="1"/>
    </row>
    <row r="214" spans="1:15" x14ac:dyDescent="0.2">
      <c r="A214" s="10"/>
      <c r="B214" s="10"/>
      <c r="E214" s="1"/>
      <c r="I214" s="1"/>
      <c r="J214" s="1"/>
      <c r="K214" s="1"/>
      <c r="L214" s="1"/>
      <c r="M214" s="1"/>
      <c r="N214" s="1"/>
      <c r="O214" s="1"/>
    </row>
    <row r="215" spans="1:15" x14ac:dyDescent="0.2">
      <c r="A215" s="10"/>
      <c r="B215" s="10"/>
      <c r="E215" s="1"/>
      <c r="I215" s="1"/>
      <c r="J215" s="1"/>
      <c r="K215" s="1"/>
      <c r="L215" s="1"/>
      <c r="M215" s="1"/>
      <c r="N215" s="1"/>
      <c r="O215" s="1"/>
    </row>
    <row r="216" spans="1:15" x14ac:dyDescent="0.2">
      <c r="A216" s="10"/>
      <c r="B216" s="10"/>
      <c r="E216" s="1"/>
      <c r="I216" s="1"/>
      <c r="J216" s="1"/>
      <c r="K216" s="1"/>
      <c r="L216" s="1"/>
      <c r="M216" s="1"/>
      <c r="N216" s="1"/>
      <c r="O216" s="1"/>
    </row>
    <row r="217" spans="1:15" x14ac:dyDescent="0.2">
      <c r="A217" s="10"/>
      <c r="B217" s="10"/>
      <c r="E217" s="1"/>
      <c r="I217" s="1"/>
      <c r="J217" s="1"/>
      <c r="K217" s="1"/>
      <c r="L217" s="1"/>
      <c r="M217" s="1"/>
      <c r="N217" s="1"/>
      <c r="O217" s="1"/>
    </row>
    <row r="218" spans="1:15" x14ac:dyDescent="0.2">
      <c r="A218" s="10"/>
      <c r="B218" s="10"/>
      <c r="E218" s="1"/>
      <c r="I218" s="1"/>
      <c r="J218" s="1"/>
      <c r="K218" s="1"/>
      <c r="L218" s="1"/>
      <c r="M218" s="1"/>
      <c r="N218" s="1"/>
      <c r="O218" s="1"/>
    </row>
    <row r="219" spans="1:15" x14ac:dyDescent="0.2">
      <c r="A219" s="10"/>
      <c r="B219" s="10"/>
      <c r="E219" s="1"/>
      <c r="I219" s="1"/>
      <c r="J219" s="1"/>
      <c r="K219" s="1"/>
      <c r="L219" s="1"/>
      <c r="M219" s="1"/>
      <c r="N219" s="1"/>
      <c r="O219" s="1"/>
    </row>
    <row r="220" spans="1:15" x14ac:dyDescent="0.2">
      <c r="A220" s="10"/>
      <c r="B220" s="10"/>
      <c r="E220" s="1"/>
      <c r="I220" s="1"/>
      <c r="J220" s="1"/>
      <c r="K220" s="1"/>
      <c r="L220" s="1"/>
      <c r="M220" s="1"/>
      <c r="N220" s="1"/>
      <c r="O220" s="1"/>
    </row>
    <row r="221" spans="1:15" x14ac:dyDescent="0.2">
      <c r="A221" s="10"/>
      <c r="B221" s="10"/>
      <c r="E221" s="1"/>
      <c r="I221" s="1"/>
      <c r="J221" s="1"/>
      <c r="K221" s="1"/>
      <c r="L221" s="1"/>
      <c r="M221" s="1"/>
      <c r="N221" s="1"/>
      <c r="O221" s="1"/>
    </row>
    <row r="222" spans="1:15" x14ac:dyDescent="0.2">
      <c r="A222" s="10"/>
      <c r="B222" s="10"/>
      <c r="E222" s="1"/>
      <c r="I222" s="1"/>
      <c r="J222" s="1"/>
      <c r="K222" s="1"/>
      <c r="L222" s="1"/>
      <c r="M222" s="1"/>
      <c r="N222" s="1"/>
      <c r="O222" s="1"/>
    </row>
    <row r="223" spans="1:15" x14ac:dyDescent="0.2">
      <c r="A223" s="10"/>
      <c r="B223" s="10"/>
      <c r="E223" s="1"/>
      <c r="I223" s="1"/>
      <c r="J223" s="1"/>
      <c r="K223" s="1"/>
      <c r="L223" s="1"/>
      <c r="M223" s="1"/>
      <c r="N223" s="1"/>
      <c r="O223" s="1"/>
    </row>
    <row r="224" spans="1:15" x14ac:dyDescent="0.2">
      <c r="A224" s="10"/>
      <c r="B224" s="10"/>
      <c r="E224" s="1"/>
      <c r="I224" s="1"/>
      <c r="J224" s="1"/>
      <c r="K224" s="1"/>
      <c r="L224" s="1"/>
      <c r="M224" s="1"/>
      <c r="N224" s="1"/>
      <c r="O224" s="1"/>
    </row>
    <row r="225" spans="1:15" x14ac:dyDescent="0.2">
      <c r="A225" s="10"/>
      <c r="B225" s="10"/>
      <c r="E225" s="1"/>
      <c r="I225" s="1"/>
      <c r="J225" s="1"/>
      <c r="K225" s="1"/>
      <c r="L225" s="1"/>
      <c r="M225" s="1"/>
      <c r="N225" s="1"/>
      <c r="O225" s="1"/>
    </row>
    <row r="226" spans="1:15" x14ac:dyDescent="0.2">
      <c r="A226" s="10"/>
      <c r="B226" s="10"/>
      <c r="E226" s="1"/>
      <c r="I226" s="1"/>
      <c r="J226" s="1"/>
      <c r="K226" s="1"/>
      <c r="L226" s="1"/>
      <c r="M226" s="1"/>
      <c r="N226" s="1"/>
      <c r="O226" s="1"/>
    </row>
    <row r="227" spans="1:15" x14ac:dyDescent="0.2">
      <c r="A227" s="10"/>
      <c r="B227" s="10"/>
      <c r="E227" s="1"/>
      <c r="I227" s="1"/>
      <c r="J227" s="1"/>
      <c r="K227" s="1"/>
      <c r="L227" s="1"/>
      <c r="M227" s="1"/>
      <c r="N227" s="1"/>
      <c r="O227" s="1"/>
    </row>
    <row r="228" spans="1:15" x14ac:dyDescent="0.2">
      <c r="A228" s="10"/>
      <c r="B228" s="10"/>
      <c r="F228" s="2"/>
      <c r="I228" s="1"/>
      <c r="J228" s="1"/>
      <c r="K228" s="1"/>
      <c r="L228" s="1"/>
      <c r="M228" s="1"/>
      <c r="N228" s="1"/>
      <c r="O228" s="1"/>
    </row>
    <row r="229" spans="1:15" x14ac:dyDescent="0.2">
      <c r="A229" s="10"/>
      <c r="B229" s="10"/>
      <c r="F229" s="2"/>
      <c r="I229" s="1"/>
      <c r="J229" s="1"/>
      <c r="K229" s="1"/>
      <c r="L229" s="1"/>
      <c r="M229" s="1"/>
      <c r="N229" s="1"/>
      <c r="O229" s="1"/>
    </row>
    <row r="230" spans="1:15" x14ac:dyDescent="0.2">
      <c r="A230" s="10"/>
      <c r="B230" s="10"/>
      <c r="F230" s="2"/>
      <c r="I230" s="1"/>
      <c r="J230" s="1"/>
      <c r="K230" s="1"/>
      <c r="L230" s="1"/>
      <c r="M230" s="1"/>
      <c r="N230" s="1"/>
      <c r="O230" s="1"/>
    </row>
    <row r="231" spans="1:15" x14ac:dyDescent="0.2">
      <c r="A231" s="10"/>
      <c r="B231" s="10"/>
      <c r="F231" s="2"/>
      <c r="I231" s="1"/>
      <c r="J231" s="1"/>
      <c r="K231" s="1"/>
      <c r="L231" s="1"/>
      <c r="M231" s="1"/>
      <c r="N231" s="1"/>
      <c r="O231" s="1"/>
    </row>
    <row r="232" spans="1:15" x14ac:dyDescent="0.2">
      <c r="A232" s="10"/>
      <c r="B232" s="10"/>
      <c r="F232" s="2"/>
      <c r="I232" s="1"/>
      <c r="J232" s="1"/>
      <c r="K232" s="1"/>
      <c r="L232" s="1"/>
      <c r="M232" s="1"/>
      <c r="N232" s="1"/>
      <c r="O232" s="1"/>
    </row>
    <row r="233" spans="1:15" x14ac:dyDescent="0.2">
      <c r="A233" s="10"/>
      <c r="B233" s="10"/>
      <c r="F233" s="2"/>
      <c r="I233" s="1"/>
      <c r="J233" s="1"/>
      <c r="K233" s="1"/>
      <c r="L233" s="1"/>
      <c r="M233" s="1"/>
      <c r="N233" s="1"/>
      <c r="O233" s="1"/>
    </row>
    <row r="234" spans="1:15" x14ac:dyDescent="0.2">
      <c r="A234" s="10"/>
      <c r="B234" s="10"/>
      <c r="F234" s="2"/>
      <c r="I234" s="1"/>
      <c r="J234" s="1"/>
      <c r="K234" s="1"/>
      <c r="L234" s="1"/>
      <c r="M234" s="1"/>
      <c r="N234" s="1"/>
      <c r="O234" s="1"/>
    </row>
    <row r="235" spans="1:15" x14ac:dyDescent="0.2">
      <c r="A235" s="10"/>
      <c r="B235" s="10"/>
      <c r="F235" s="2"/>
      <c r="I235" s="1"/>
      <c r="J235" s="1"/>
      <c r="K235" s="1"/>
      <c r="L235" s="1"/>
      <c r="M235" s="1"/>
      <c r="N235" s="1"/>
      <c r="O235" s="1"/>
    </row>
    <row r="236" spans="1:15" x14ac:dyDescent="0.2">
      <c r="A236" s="10"/>
      <c r="B236" s="10"/>
      <c r="F236" s="2"/>
      <c r="I236" s="1"/>
      <c r="J236" s="1"/>
      <c r="K236" s="1"/>
      <c r="L236" s="1"/>
      <c r="M236" s="1"/>
      <c r="N236" s="1"/>
      <c r="O236" s="1"/>
    </row>
    <row r="237" spans="1:15" x14ac:dyDescent="0.2">
      <c r="A237" s="10"/>
      <c r="B237" s="10"/>
      <c r="F237" s="2"/>
      <c r="I237" s="1"/>
      <c r="J237" s="1"/>
      <c r="K237" s="1"/>
      <c r="L237" s="1"/>
      <c r="M237" s="1"/>
      <c r="N237" s="1"/>
      <c r="O237" s="1"/>
    </row>
    <row r="238" spans="1:15" x14ac:dyDescent="0.2">
      <c r="A238" s="10"/>
      <c r="B238" s="10"/>
      <c r="F238" s="2"/>
      <c r="I238" s="1"/>
      <c r="J238" s="1"/>
      <c r="K238" s="1"/>
      <c r="L238" s="1"/>
      <c r="M238" s="1"/>
      <c r="N238" s="1"/>
      <c r="O238" s="1"/>
    </row>
    <row r="239" spans="1:15" x14ac:dyDescent="0.2">
      <c r="A239" s="10"/>
      <c r="B239" s="10"/>
      <c r="F239" s="2"/>
      <c r="I239" s="1"/>
      <c r="J239" s="1"/>
      <c r="K239" s="1"/>
      <c r="L239" s="1"/>
      <c r="M239" s="1"/>
      <c r="N239" s="1"/>
      <c r="O239" s="1"/>
    </row>
    <row r="240" spans="1:15" x14ac:dyDescent="0.2">
      <c r="A240" s="10"/>
      <c r="B240" s="10"/>
      <c r="F240" s="2"/>
      <c r="I240" s="1"/>
      <c r="J240" s="1"/>
      <c r="K240" s="1"/>
      <c r="L240" s="1"/>
      <c r="M240" s="1"/>
      <c r="N240" s="1"/>
      <c r="O240" s="1"/>
    </row>
    <row r="241" spans="1:15" x14ac:dyDescent="0.2">
      <c r="A241" s="10"/>
      <c r="B241" s="10"/>
      <c r="F241" s="2"/>
      <c r="I241" s="1"/>
      <c r="J241" s="1"/>
      <c r="K241" s="1"/>
      <c r="L241" s="1"/>
      <c r="M241" s="1"/>
      <c r="N241" s="1"/>
      <c r="O241" s="1"/>
    </row>
    <row r="242" spans="1:15" x14ac:dyDescent="0.2">
      <c r="A242" s="10"/>
      <c r="B242" s="10"/>
      <c r="F242" s="2"/>
      <c r="I242" s="1"/>
      <c r="J242" s="1"/>
      <c r="K242" s="1"/>
      <c r="L242" s="1"/>
      <c r="M242" s="1"/>
      <c r="N242" s="1"/>
      <c r="O242" s="1"/>
    </row>
    <row r="243" spans="1:15" x14ac:dyDescent="0.2">
      <c r="A243" s="10"/>
      <c r="B243" s="10"/>
      <c r="F243" s="2"/>
      <c r="I243" s="1"/>
      <c r="J243" s="1"/>
      <c r="K243" s="1"/>
      <c r="L243" s="1"/>
      <c r="M243" s="1"/>
      <c r="N243" s="1"/>
      <c r="O243" s="1"/>
    </row>
    <row r="244" spans="1:15" x14ac:dyDescent="0.2">
      <c r="A244" s="10"/>
      <c r="B244" s="10"/>
      <c r="F244" s="2"/>
      <c r="I244" s="1"/>
      <c r="J244" s="1"/>
      <c r="K244" s="1"/>
      <c r="L244" s="1"/>
      <c r="M244" s="1"/>
      <c r="N244" s="1"/>
      <c r="O244" s="1"/>
    </row>
    <row r="245" spans="1:15" x14ac:dyDescent="0.2">
      <c r="A245" s="10"/>
      <c r="B245" s="10"/>
      <c r="F245" s="2"/>
      <c r="I245" s="1"/>
      <c r="J245" s="1"/>
      <c r="K245" s="1"/>
      <c r="L245" s="1"/>
      <c r="M245" s="1"/>
      <c r="N245" s="1"/>
      <c r="O245" s="1"/>
    </row>
    <row r="246" spans="1:15" x14ac:dyDescent="0.2">
      <c r="A246" s="10"/>
      <c r="B246" s="10"/>
      <c r="F246" s="2"/>
      <c r="I246" s="1"/>
      <c r="J246" s="1"/>
      <c r="K246" s="1"/>
      <c r="L246" s="1"/>
      <c r="M246" s="1"/>
      <c r="N246" s="1"/>
      <c r="O246" s="1"/>
    </row>
    <row r="247" spans="1:15" x14ac:dyDescent="0.2">
      <c r="A247" s="10"/>
      <c r="B247" s="10"/>
      <c r="F247" s="2"/>
      <c r="I247" s="1"/>
      <c r="J247" s="1"/>
      <c r="K247" s="1"/>
      <c r="L247" s="1"/>
      <c r="M247" s="1"/>
      <c r="N247" s="1"/>
      <c r="O247" s="1"/>
    </row>
    <row r="248" spans="1:15" x14ac:dyDescent="0.2">
      <c r="A248" s="10"/>
      <c r="B248" s="10"/>
      <c r="F248" s="2"/>
      <c r="I248" s="1"/>
      <c r="J248" s="1"/>
      <c r="K248" s="1"/>
      <c r="L248" s="1"/>
      <c r="M248" s="1"/>
      <c r="N248" s="1"/>
      <c r="O248" s="1"/>
    </row>
    <row r="249" spans="1:15" x14ac:dyDescent="0.2">
      <c r="A249" s="10"/>
      <c r="B249" s="10"/>
      <c r="F249" s="2"/>
      <c r="I249" s="1"/>
      <c r="J249" s="1"/>
      <c r="K249" s="1"/>
      <c r="L249" s="1"/>
      <c r="M249" s="1"/>
      <c r="N249" s="1"/>
      <c r="O249" s="1"/>
    </row>
    <row r="250" spans="1:15" x14ac:dyDescent="0.2">
      <c r="A250" s="10"/>
      <c r="B250" s="10"/>
      <c r="F250" s="2"/>
      <c r="I250" s="1"/>
      <c r="J250" s="1"/>
      <c r="K250" s="1"/>
      <c r="L250" s="1"/>
      <c r="M250" s="1"/>
      <c r="N250" s="1"/>
      <c r="O250" s="1"/>
    </row>
    <row r="251" spans="1:15" x14ac:dyDescent="0.2">
      <c r="A251" s="10"/>
      <c r="B251" s="10"/>
      <c r="F251" s="2"/>
      <c r="I251" s="1"/>
      <c r="J251" s="1"/>
      <c r="K251" s="1"/>
      <c r="L251" s="1"/>
      <c r="M251" s="1"/>
      <c r="N251" s="1"/>
      <c r="O251" s="1"/>
    </row>
    <row r="252" spans="1:15" x14ac:dyDescent="0.2">
      <c r="A252" s="10"/>
      <c r="B252" s="10"/>
      <c r="F252" s="2"/>
      <c r="I252" s="1"/>
      <c r="J252" s="1"/>
      <c r="K252" s="1"/>
      <c r="L252" s="1"/>
      <c r="M252" s="1"/>
      <c r="N252" s="1"/>
      <c r="O252" s="1"/>
    </row>
    <row r="253" spans="1:15" x14ac:dyDescent="0.2">
      <c r="A253" s="10"/>
      <c r="B253" s="10"/>
      <c r="F253" s="2"/>
      <c r="I253" s="1"/>
      <c r="J253" s="1"/>
      <c r="K253" s="1"/>
      <c r="L253" s="1"/>
      <c r="M253" s="1"/>
      <c r="N253" s="1"/>
      <c r="O253" s="1"/>
    </row>
    <row r="254" spans="1:15" x14ac:dyDescent="0.2">
      <c r="A254" s="10"/>
      <c r="B254" s="10"/>
      <c r="F254" s="2"/>
      <c r="I254" s="1"/>
      <c r="J254" s="1"/>
      <c r="K254" s="1"/>
      <c r="L254" s="1"/>
      <c r="M254" s="1"/>
      <c r="N254" s="1"/>
      <c r="O254" s="1"/>
    </row>
    <row r="255" spans="1:15" x14ac:dyDescent="0.2">
      <c r="A255" s="10"/>
      <c r="B255" s="10"/>
      <c r="F255" s="2"/>
      <c r="I255" s="1"/>
      <c r="J255" s="1"/>
      <c r="K255" s="1"/>
      <c r="L255" s="1"/>
      <c r="M255" s="1"/>
      <c r="N255" s="1"/>
      <c r="O255" s="1"/>
    </row>
    <row r="256" spans="1:15" x14ac:dyDescent="0.2">
      <c r="A256" s="10"/>
      <c r="B256" s="10"/>
      <c r="F256" s="2"/>
      <c r="I256" s="1"/>
      <c r="J256" s="1"/>
      <c r="K256" s="1"/>
      <c r="L256" s="1"/>
      <c r="M256" s="1"/>
      <c r="N256" s="1"/>
      <c r="O256" s="1"/>
    </row>
    <row r="257" spans="1:15" x14ac:dyDescent="0.2">
      <c r="A257" s="10"/>
      <c r="B257" s="10"/>
      <c r="F257" s="2"/>
      <c r="I257" s="1"/>
      <c r="J257" s="1"/>
      <c r="K257" s="1"/>
      <c r="L257" s="1"/>
      <c r="M257" s="1"/>
      <c r="N257" s="1"/>
      <c r="O257" s="1"/>
    </row>
    <row r="258" spans="1:15" x14ac:dyDescent="0.2">
      <c r="A258" s="10"/>
      <c r="B258" s="10"/>
      <c r="F258" s="2"/>
      <c r="I258" s="1"/>
      <c r="J258" s="1"/>
      <c r="K258" s="1"/>
      <c r="L258" s="1"/>
      <c r="M258" s="1"/>
      <c r="N258" s="1"/>
      <c r="O258" s="1"/>
    </row>
    <row r="259" spans="1:15" x14ac:dyDescent="0.2">
      <c r="A259" s="10"/>
      <c r="B259" s="10"/>
      <c r="E259" s="1"/>
      <c r="I259" s="1"/>
      <c r="J259" s="1"/>
      <c r="K259" s="1"/>
      <c r="L259" s="1"/>
      <c r="M259" s="1"/>
      <c r="N259" s="1"/>
      <c r="O259" s="1"/>
    </row>
    <row r="260" spans="1:15" x14ac:dyDescent="0.2">
      <c r="A260" s="10"/>
      <c r="B260" s="10"/>
      <c r="E260" s="1"/>
      <c r="I260" s="1"/>
      <c r="J260" s="1"/>
      <c r="K260" s="1"/>
      <c r="L260" s="1"/>
      <c r="M260" s="1"/>
      <c r="N260" s="1"/>
      <c r="O260" s="1"/>
    </row>
    <row r="261" spans="1:15" x14ac:dyDescent="0.2">
      <c r="A261" s="10"/>
      <c r="B261" s="10"/>
      <c r="F261" s="2"/>
      <c r="I261" s="1"/>
      <c r="J261" s="1"/>
      <c r="K261" s="1"/>
      <c r="L261" s="1"/>
      <c r="M261" s="1"/>
      <c r="N261" s="1"/>
      <c r="O261" s="1"/>
    </row>
    <row r="262" spans="1:15" x14ac:dyDescent="0.2">
      <c r="A262" s="10"/>
      <c r="B262" s="10"/>
      <c r="F262" s="2"/>
      <c r="I262" s="1"/>
      <c r="J262" s="1"/>
      <c r="K262" s="1"/>
      <c r="L262" s="1"/>
      <c r="M262" s="1"/>
      <c r="N262" s="1"/>
      <c r="O262" s="1"/>
    </row>
    <row r="263" spans="1:15" x14ac:dyDescent="0.2">
      <c r="A263" s="10"/>
      <c r="B263" s="10"/>
      <c r="F263" s="2"/>
      <c r="I263" s="1"/>
      <c r="J263" s="1"/>
      <c r="K263" s="1"/>
      <c r="L263" s="1"/>
      <c r="M263" s="1"/>
      <c r="N263" s="1"/>
      <c r="O263" s="1"/>
    </row>
    <row r="264" spans="1:15" x14ac:dyDescent="0.2">
      <c r="A264" s="10"/>
      <c r="B264" s="10"/>
      <c r="F264" s="2"/>
      <c r="I264" s="1"/>
      <c r="J264" s="1"/>
      <c r="K264" s="1"/>
      <c r="L264" s="1"/>
      <c r="M264" s="1"/>
      <c r="N264" s="1"/>
      <c r="O264" s="1"/>
    </row>
    <row r="265" spans="1:15" x14ac:dyDescent="0.2">
      <c r="A265" s="10"/>
      <c r="B265" s="10"/>
      <c r="F265" s="2"/>
      <c r="I265" s="1"/>
      <c r="J265" s="1"/>
      <c r="K265" s="1"/>
      <c r="L265" s="1"/>
      <c r="M265" s="1"/>
      <c r="N265" s="1"/>
      <c r="O265" s="1"/>
    </row>
    <row r="266" spans="1:15" x14ac:dyDescent="0.2">
      <c r="A266" s="10"/>
      <c r="B266" s="10"/>
      <c r="F266" s="2"/>
      <c r="I266" s="1"/>
      <c r="J266" s="1"/>
      <c r="K266" s="1"/>
      <c r="L266" s="1"/>
      <c r="M266" s="1"/>
      <c r="N266" s="1"/>
      <c r="O266" s="1"/>
    </row>
    <row r="267" spans="1:15" x14ac:dyDescent="0.2">
      <c r="A267" s="10"/>
      <c r="B267" s="10"/>
      <c r="F267" s="2"/>
      <c r="I267" s="1"/>
      <c r="J267" s="1"/>
      <c r="K267" s="1"/>
      <c r="L267" s="1"/>
      <c r="M267" s="1"/>
      <c r="N267" s="1"/>
      <c r="O267" s="1"/>
    </row>
    <row r="268" spans="1:15" x14ac:dyDescent="0.2">
      <c r="A268" s="10"/>
      <c r="B268" s="10"/>
      <c r="F268" s="2"/>
      <c r="I268" s="1"/>
      <c r="J268" s="1"/>
      <c r="K268" s="1"/>
      <c r="L268" s="1"/>
      <c r="M268" s="1"/>
      <c r="N268" s="1"/>
      <c r="O268" s="1"/>
    </row>
    <row r="269" spans="1:15" x14ac:dyDescent="0.2">
      <c r="A269" s="10"/>
      <c r="B269" s="10"/>
      <c r="F269" s="2"/>
      <c r="I269" s="1"/>
      <c r="J269" s="1"/>
      <c r="K269" s="1"/>
      <c r="L269" s="1"/>
      <c r="M269" s="1"/>
      <c r="N269" s="1"/>
      <c r="O269" s="1"/>
    </row>
    <row r="270" spans="1:15" x14ac:dyDescent="0.2">
      <c r="A270" s="10"/>
      <c r="B270" s="10"/>
      <c r="F270" s="2"/>
      <c r="I270" s="1"/>
      <c r="J270" s="1"/>
      <c r="K270" s="1"/>
      <c r="L270" s="1"/>
      <c r="M270" s="1"/>
      <c r="N270" s="1"/>
      <c r="O270" s="1"/>
    </row>
    <row r="271" spans="1:15" x14ac:dyDescent="0.2">
      <c r="A271" s="10"/>
      <c r="B271" s="10"/>
      <c r="F271" s="2"/>
      <c r="I271" s="1"/>
      <c r="J271" s="1"/>
      <c r="K271" s="1"/>
      <c r="L271" s="1"/>
      <c r="M271" s="1"/>
      <c r="N271" s="1"/>
      <c r="O271" s="1"/>
    </row>
    <row r="272" spans="1:15" x14ac:dyDescent="0.2">
      <c r="A272" s="10"/>
      <c r="B272" s="10"/>
      <c r="F272" s="2"/>
      <c r="I272" s="1"/>
      <c r="J272" s="1"/>
      <c r="K272" s="1"/>
      <c r="L272" s="1"/>
      <c r="M272" s="1"/>
      <c r="N272" s="1"/>
      <c r="O272" s="1"/>
    </row>
    <row r="273" spans="1:15" x14ac:dyDescent="0.2">
      <c r="A273" s="10"/>
      <c r="B273" s="10"/>
      <c r="F273" s="2"/>
      <c r="I273" s="1"/>
      <c r="J273" s="1"/>
      <c r="K273" s="1"/>
      <c r="L273" s="1"/>
      <c r="M273" s="1"/>
      <c r="N273" s="1"/>
      <c r="O273" s="1"/>
    </row>
    <row r="274" spans="1:15" x14ac:dyDescent="0.2">
      <c r="A274" s="10"/>
      <c r="B274" s="10"/>
      <c r="F274" s="2"/>
      <c r="I274" s="1"/>
      <c r="J274" s="1"/>
      <c r="K274" s="1"/>
      <c r="L274" s="1"/>
      <c r="M274" s="1"/>
      <c r="N274" s="1"/>
      <c r="O274" s="1"/>
    </row>
    <row r="275" spans="1:15" x14ac:dyDescent="0.2">
      <c r="A275" s="10"/>
      <c r="B275" s="10"/>
      <c r="F275" s="2"/>
      <c r="I275" s="1"/>
      <c r="J275" s="1"/>
      <c r="K275" s="1"/>
      <c r="L275" s="1"/>
      <c r="M275" s="1"/>
      <c r="N275" s="1"/>
      <c r="O275" s="1"/>
    </row>
    <row r="276" spans="1:15" x14ac:dyDescent="0.2">
      <c r="A276" s="10"/>
      <c r="B276" s="10"/>
      <c r="F276" s="2"/>
      <c r="I276" s="1"/>
      <c r="J276" s="1"/>
      <c r="K276" s="1"/>
      <c r="L276" s="1"/>
      <c r="M276" s="1"/>
      <c r="N276" s="1"/>
      <c r="O276" s="1"/>
    </row>
    <row r="277" spans="1:15" x14ac:dyDescent="0.2">
      <c r="A277" s="10"/>
      <c r="B277" s="10"/>
      <c r="F277" s="2"/>
      <c r="I277" s="1"/>
      <c r="J277" s="1"/>
      <c r="K277" s="1"/>
      <c r="L277" s="1"/>
      <c r="M277" s="1"/>
      <c r="N277" s="1"/>
      <c r="O277" s="1"/>
    </row>
    <row r="278" spans="1:15" x14ac:dyDescent="0.2">
      <c r="A278" s="10"/>
      <c r="B278" s="10"/>
      <c r="F278" s="2"/>
      <c r="I278" s="1"/>
      <c r="J278" s="1"/>
      <c r="K278" s="1"/>
      <c r="L278" s="1"/>
      <c r="M278" s="1"/>
      <c r="N278" s="1"/>
      <c r="O278" s="1"/>
    </row>
    <row r="279" spans="1:15" x14ac:dyDescent="0.2">
      <c r="A279" s="10"/>
      <c r="B279" s="10"/>
      <c r="F279" s="2"/>
      <c r="I279" s="1"/>
      <c r="J279" s="1"/>
      <c r="K279" s="1"/>
      <c r="L279" s="1"/>
      <c r="M279" s="1"/>
      <c r="N279" s="1"/>
      <c r="O279" s="1"/>
    </row>
    <row r="280" spans="1:15" x14ac:dyDescent="0.2">
      <c r="A280" s="10"/>
      <c r="B280" s="10"/>
      <c r="F280" s="2"/>
      <c r="I280" s="1"/>
      <c r="J280" s="1"/>
      <c r="K280" s="1"/>
      <c r="L280" s="1"/>
      <c r="M280" s="1"/>
      <c r="N280" s="1"/>
      <c r="O280" s="1"/>
    </row>
    <row r="281" spans="1:15" x14ac:dyDescent="0.2">
      <c r="A281" s="10"/>
      <c r="B281" s="10"/>
      <c r="F281" s="2"/>
      <c r="I281" s="1"/>
      <c r="J281" s="1"/>
      <c r="K281" s="1"/>
      <c r="L281" s="1"/>
      <c r="M281" s="1"/>
      <c r="N281" s="1"/>
      <c r="O281" s="1"/>
    </row>
    <row r="282" spans="1:15" x14ac:dyDescent="0.2">
      <c r="A282" s="10"/>
      <c r="B282" s="10"/>
      <c r="F282" s="2"/>
      <c r="I282" s="1"/>
      <c r="J282" s="1"/>
      <c r="K282" s="1"/>
      <c r="L282" s="1"/>
      <c r="M282" s="1"/>
      <c r="N282" s="1"/>
      <c r="O282" s="1"/>
    </row>
    <row r="283" spans="1:15" x14ac:dyDescent="0.2">
      <c r="A283" s="10"/>
      <c r="B283" s="10"/>
      <c r="F283" s="2"/>
      <c r="I283" s="1"/>
      <c r="J283" s="1"/>
      <c r="K283" s="1"/>
      <c r="L283" s="1"/>
      <c r="M283" s="1"/>
      <c r="N283" s="1"/>
      <c r="O283" s="1"/>
    </row>
    <row r="284" spans="1:15" x14ac:dyDescent="0.2">
      <c r="A284" s="10"/>
      <c r="B284" s="10"/>
      <c r="F284" s="2"/>
      <c r="I284" s="1"/>
      <c r="J284" s="1"/>
      <c r="K284" s="1"/>
      <c r="L284" s="1"/>
      <c r="M284" s="1"/>
      <c r="N284" s="1"/>
      <c r="O284" s="1"/>
    </row>
    <row r="285" spans="1:15" x14ac:dyDescent="0.2">
      <c r="A285" s="10"/>
      <c r="B285" s="10"/>
      <c r="F285" s="2"/>
      <c r="I285" s="1"/>
      <c r="J285" s="1"/>
      <c r="K285" s="1"/>
      <c r="L285" s="1"/>
      <c r="M285" s="1"/>
      <c r="N285" s="1"/>
      <c r="O285" s="1"/>
    </row>
    <row r="286" spans="1:15" x14ac:dyDescent="0.2">
      <c r="A286" s="10"/>
      <c r="B286" s="10"/>
      <c r="F286" s="2"/>
      <c r="I286" s="1"/>
      <c r="J286" s="1"/>
      <c r="K286" s="1"/>
      <c r="L286" s="1"/>
      <c r="M286" s="1"/>
      <c r="N286" s="1"/>
      <c r="O286" s="1"/>
    </row>
    <row r="287" spans="1:15" x14ac:dyDescent="0.2">
      <c r="A287" s="10"/>
      <c r="B287" s="10"/>
      <c r="F287" s="2"/>
      <c r="I287" s="1"/>
      <c r="J287" s="1"/>
      <c r="K287" s="1"/>
      <c r="L287" s="1"/>
      <c r="M287" s="1"/>
      <c r="N287" s="1"/>
      <c r="O287" s="1"/>
    </row>
    <row r="288" spans="1:15" x14ac:dyDescent="0.2">
      <c r="I288" s="1"/>
      <c r="J288" s="1"/>
      <c r="K288" s="1"/>
      <c r="L288" s="1"/>
      <c r="M288" s="1"/>
      <c r="N288" s="1"/>
      <c r="O288" s="1"/>
    </row>
    <row r="293" spans="8:15" x14ac:dyDescent="0.2">
      <c r="I293" s="1"/>
      <c r="J293" s="1"/>
      <c r="K293" s="1"/>
      <c r="L293" s="1"/>
      <c r="M293" s="1"/>
      <c r="N293" s="1"/>
      <c r="O293" s="1"/>
    </row>
    <row r="294" spans="8:15" x14ac:dyDescent="0.2">
      <c r="I294" s="1"/>
      <c r="J294" s="1"/>
      <c r="K294" s="1"/>
      <c r="L294" s="1"/>
      <c r="M294" s="1"/>
      <c r="N294" s="1"/>
      <c r="O294" s="1"/>
    </row>
    <row r="295" spans="8:15" x14ac:dyDescent="0.2">
      <c r="H295" s="3"/>
      <c r="I295" s="1"/>
      <c r="J295" s="1"/>
      <c r="K295" s="1"/>
      <c r="L295" s="1"/>
      <c r="M295" s="1"/>
      <c r="N295" s="1"/>
      <c r="O295" s="1"/>
    </row>
    <row r="296" spans="8:15" x14ac:dyDescent="0.2">
      <c r="I296" s="1"/>
      <c r="J296" s="1"/>
      <c r="K296" s="1"/>
      <c r="L296" s="1"/>
      <c r="M296" s="1"/>
      <c r="N296" s="1"/>
      <c r="O296" s="1"/>
    </row>
  </sheetData>
  <mergeCells count="1">
    <mergeCell ref="A1:H3"/>
  </mergeCells>
  <phoneticPr fontId="15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FE2F-8779-BC40-AA81-D2C54D3A6B32}">
  <dimension ref="A1:F157"/>
  <sheetViews>
    <sheetView tabSelected="1" topLeftCell="A142" workbookViewId="0">
      <selection activeCell="A158" sqref="A158:XFD178"/>
    </sheetView>
  </sheetViews>
  <sheetFormatPr baseColWidth="10" defaultRowHeight="15" x14ac:dyDescent="0.2"/>
  <cols>
    <col min="2" max="2" width="31.1640625" bestFit="1" customWidth="1"/>
  </cols>
  <sheetData>
    <row r="1" spans="1:6" ht="16" x14ac:dyDescent="0.2">
      <c r="A1" s="9" t="s">
        <v>25</v>
      </c>
      <c r="B1" s="7" t="s">
        <v>26</v>
      </c>
      <c r="C1" s="63" t="s">
        <v>41</v>
      </c>
      <c r="D1" s="63" t="s">
        <v>241</v>
      </c>
      <c r="E1" s="63" t="s">
        <v>56</v>
      </c>
      <c r="F1" s="63" t="s">
        <v>242</v>
      </c>
    </row>
    <row r="2" spans="1:6" ht="16" x14ac:dyDescent="0.2">
      <c r="A2" s="43">
        <v>24557</v>
      </c>
      <c r="B2" s="47" t="s">
        <v>123</v>
      </c>
      <c r="C2" s="62">
        <v>19924.919999999998</v>
      </c>
      <c r="D2" s="62">
        <v>27964.800000000003</v>
      </c>
      <c r="E2" s="62">
        <v>55929.600000000006</v>
      </c>
      <c r="F2" s="64">
        <v>35900</v>
      </c>
    </row>
    <row r="3" spans="1:6" ht="16" x14ac:dyDescent="0.2">
      <c r="A3" s="43">
        <v>25221</v>
      </c>
      <c r="B3" s="47" t="s">
        <v>122</v>
      </c>
      <c r="C3" s="60">
        <v>24767.782499999998</v>
      </c>
      <c r="D3" s="60">
        <v>34761.799999999996</v>
      </c>
      <c r="E3" s="60">
        <v>69523.599999999991</v>
      </c>
      <c r="F3" s="64">
        <v>35900</v>
      </c>
    </row>
    <row r="4" spans="1:6" ht="16" x14ac:dyDescent="0.2">
      <c r="A4" s="43">
        <v>25339</v>
      </c>
      <c r="B4" s="47" t="s">
        <v>121</v>
      </c>
      <c r="C4" s="60">
        <v>20616.757500000003</v>
      </c>
      <c r="D4" s="60">
        <v>28935.8</v>
      </c>
      <c r="E4" s="60">
        <v>57871.6</v>
      </c>
      <c r="F4" s="64">
        <v>35900</v>
      </c>
    </row>
    <row r="5" spans="1:6" ht="16" x14ac:dyDescent="0.2">
      <c r="A5" s="43">
        <v>25444</v>
      </c>
      <c r="B5" s="47" t="s">
        <v>120</v>
      </c>
      <c r="C5" s="60">
        <v>21308.595000000001</v>
      </c>
      <c r="D5" s="60">
        <v>29906.799999999999</v>
      </c>
      <c r="E5" s="60">
        <v>59813.599999999999</v>
      </c>
      <c r="F5" s="64">
        <v>35900</v>
      </c>
    </row>
    <row r="6" spans="1:6" ht="16" x14ac:dyDescent="0.2">
      <c r="A6" s="43">
        <v>25454</v>
      </c>
      <c r="B6" s="48" t="s">
        <v>119</v>
      </c>
      <c r="C6" s="60">
        <v>19094.715000000004</v>
      </c>
      <c r="D6" s="60">
        <v>26799.600000000002</v>
      </c>
      <c r="E6" s="60">
        <v>53599.200000000004</v>
      </c>
      <c r="F6" s="64">
        <v>35900</v>
      </c>
    </row>
    <row r="7" spans="1:6" ht="16" x14ac:dyDescent="0.2">
      <c r="A7" s="43">
        <v>25459</v>
      </c>
      <c r="B7" s="49" t="s">
        <v>124</v>
      </c>
      <c r="C7" s="60">
        <v>22000.432500000003</v>
      </c>
      <c r="D7" s="60">
        <v>30877.8</v>
      </c>
      <c r="E7" s="60">
        <v>61755.6</v>
      </c>
      <c r="F7" s="64">
        <v>35900</v>
      </c>
    </row>
    <row r="8" spans="1:6" ht="16" x14ac:dyDescent="0.2">
      <c r="A8" s="43">
        <v>25466</v>
      </c>
      <c r="B8" s="48" t="s">
        <v>114</v>
      </c>
      <c r="C8" s="60">
        <v>15497.160000000002</v>
      </c>
      <c r="D8" s="60">
        <v>21750.400000000001</v>
      </c>
      <c r="E8" s="60">
        <v>43500.800000000003</v>
      </c>
      <c r="F8" s="64">
        <v>35900</v>
      </c>
    </row>
    <row r="9" spans="1:6" ht="16" x14ac:dyDescent="0.2">
      <c r="A9" s="43">
        <v>25473</v>
      </c>
      <c r="B9" s="48" t="s">
        <v>111</v>
      </c>
      <c r="C9" s="60">
        <v>21931.248750000002</v>
      </c>
      <c r="D9" s="60">
        <v>30780.700000000004</v>
      </c>
      <c r="E9" s="60">
        <v>61561.400000000009</v>
      </c>
      <c r="F9" s="64">
        <v>35900</v>
      </c>
    </row>
    <row r="10" spans="1:6" ht="16" x14ac:dyDescent="0.2">
      <c r="A10" s="43">
        <v>25481</v>
      </c>
      <c r="B10" s="48" t="s">
        <v>110</v>
      </c>
      <c r="C10" s="60">
        <v>22000.432500000003</v>
      </c>
      <c r="D10" s="60">
        <v>30877.8</v>
      </c>
      <c r="E10" s="60">
        <v>61755.6</v>
      </c>
      <c r="F10" s="64">
        <v>35900</v>
      </c>
    </row>
    <row r="11" spans="1:6" ht="16" x14ac:dyDescent="0.2">
      <c r="A11" s="43">
        <v>26062</v>
      </c>
      <c r="B11" s="48" t="s">
        <v>108</v>
      </c>
      <c r="C11" s="60">
        <v>16880.834999999995</v>
      </c>
      <c r="D11" s="60">
        <v>23692.399999999998</v>
      </c>
      <c r="E11" s="60">
        <v>47384.799999999996</v>
      </c>
      <c r="F11" s="64">
        <v>35900</v>
      </c>
    </row>
    <row r="12" spans="1:6" ht="16" x14ac:dyDescent="0.2">
      <c r="A12" s="43">
        <v>26085</v>
      </c>
      <c r="B12" s="48" t="s">
        <v>118</v>
      </c>
      <c r="C12" s="60">
        <v>21931.248750000002</v>
      </c>
      <c r="D12" s="60">
        <v>30780.700000000004</v>
      </c>
      <c r="E12" s="60">
        <v>61561.400000000009</v>
      </c>
      <c r="F12" s="64">
        <v>35900</v>
      </c>
    </row>
    <row r="13" spans="1:6" ht="16" x14ac:dyDescent="0.2">
      <c r="A13" s="43">
        <v>26787</v>
      </c>
      <c r="B13" s="48" t="s">
        <v>116</v>
      </c>
      <c r="C13" s="60">
        <v>25321.252500000002</v>
      </c>
      <c r="D13" s="60">
        <v>35538.6</v>
      </c>
      <c r="E13" s="60">
        <v>71077.2</v>
      </c>
      <c r="F13" s="64">
        <v>35900</v>
      </c>
    </row>
    <row r="14" spans="1:6" ht="16" x14ac:dyDescent="0.2">
      <c r="A14" s="43">
        <v>26900</v>
      </c>
      <c r="B14" s="48" t="s">
        <v>117</v>
      </c>
      <c r="C14" s="60">
        <v>21931.248750000002</v>
      </c>
      <c r="D14" s="60">
        <v>30780.700000000004</v>
      </c>
      <c r="E14" s="60">
        <v>61561.400000000009</v>
      </c>
      <c r="F14" s="64">
        <v>35900</v>
      </c>
    </row>
    <row r="15" spans="1:6" ht="16" x14ac:dyDescent="0.2">
      <c r="A15" s="43">
        <v>26930</v>
      </c>
      <c r="B15" s="48" t="s">
        <v>115</v>
      </c>
      <c r="C15" s="60">
        <v>15497.160000000002</v>
      </c>
      <c r="D15" s="60">
        <v>21750.400000000001</v>
      </c>
      <c r="E15" s="60">
        <v>43500.800000000003</v>
      </c>
      <c r="F15" s="64">
        <v>35900</v>
      </c>
    </row>
    <row r="16" spans="1:6" ht="16" x14ac:dyDescent="0.2">
      <c r="A16" s="43">
        <v>26941</v>
      </c>
      <c r="B16" s="48" t="s">
        <v>113</v>
      </c>
      <c r="C16" s="60">
        <v>21239.411250000001</v>
      </c>
      <c r="D16" s="60">
        <v>29809.700000000004</v>
      </c>
      <c r="E16" s="60">
        <v>59619.400000000009</v>
      </c>
      <c r="F16" s="64">
        <v>35900</v>
      </c>
    </row>
    <row r="17" spans="1:6" ht="16" x14ac:dyDescent="0.2">
      <c r="A17" s="43">
        <v>26947</v>
      </c>
      <c r="B17" s="48" t="s">
        <v>112</v>
      </c>
      <c r="C17" s="60">
        <v>19094.715000000004</v>
      </c>
      <c r="D17" s="60">
        <v>26799.600000000002</v>
      </c>
      <c r="E17" s="60">
        <v>53599.200000000004</v>
      </c>
      <c r="F17" s="64">
        <v>35900</v>
      </c>
    </row>
    <row r="18" spans="1:6" ht="16" x14ac:dyDescent="0.2">
      <c r="A18" s="43">
        <v>26953</v>
      </c>
      <c r="B18" s="47" t="s">
        <v>109</v>
      </c>
      <c r="C18" s="60">
        <v>19094.715000000004</v>
      </c>
      <c r="D18" s="60">
        <v>26799.600000000002</v>
      </c>
      <c r="E18" s="60">
        <v>53599.200000000004</v>
      </c>
      <c r="F18" s="64">
        <v>35900</v>
      </c>
    </row>
    <row r="19" spans="1:6" ht="16" x14ac:dyDescent="0.2">
      <c r="A19" s="14">
        <v>41189</v>
      </c>
      <c r="B19" s="21" t="s">
        <v>63</v>
      </c>
      <c r="C19" s="60">
        <v>19509.817500000001</v>
      </c>
      <c r="D19" s="60">
        <v>27382.200000000004</v>
      </c>
      <c r="E19" s="60">
        <v>54764.400000000009</v>
      </c>
      <c r="F19" s="64">
        <v>52500</v>
      </c>
    </row>
    <row r="20" spans="1:6" ht="16" x14ac:dyDescent="0.2">
      <c r="A20" s="14">
        <v>41200</v>
      </c>
      <c r="B20" s="21" t="s">
        <v>64</v>
      </c>
      <c r="C20" s="60">
        <v>23176.556250000001</v>
      </c>
      <c r="D20" s="60">
        <v>32528.5</v>
      </c>
      <c r="E20" s="60">
        <v>65057</v>
      </c>
      <c r="F20" s="64">
        <v>70000</v>
      </c>
    </row>
    <row r="21" spans="1:6" ht="16" x14ac:dyDescent="0.2">
      <c r="A21" s="14">
        <v>41220</v>
      </c>
      <c r="B21" s="21" t="s">
        <v>65</v>
      </c>
      <c r="C21" s="60">
        <v>32447.178749999995</v>
      </c>
      <c r="D21" s="60">
        <v>45539.899999999994</v>
      </c>
      <c r="E21" s="60">
        <v>91079.799999999988</v>
      </c>
      <c r="F21" s="64">
        <v>81900</v>
      </c>
    </row>
    <row r="22" spans="1:6" ht="16" x14ac:dyDescent="0.2">
      <c r="A22" s="14">
        <v>42287</v>
      </c>
      <c r="B22" s="21" t="s">
        <v>66</v>
      </c>
      <c r="C22" s="60">
        <v>19509.817500000001</v>
      </c>
      <c r="D22" s="60">
        <v>27382.200000000004</v>
      </c>
      <c r="E22" s="60">
        <v>54764.400000000009</v>
      </c>
      <c r="F22" s="64">
        <v>52500</v>
      </c>
    </row>
    <row r="23" spans="1:6" ht="16" x14ac:dyDescent="0.2">
      <c r="A23" s="14">
        <v>42300</v>
      </c>
      <c r="B23" s="22" t="s">
        <v>67</v>
      </c>
      <c r="C23" s="60">
        <v>23176.556250000001</v>
      </c>
      <c r="D23" s="60">
        <v>32528.5</v>
      </c>
      <c r="E23" s="60">
        <v>65057</v>
      </c>
      <c r="F23" s="64">
        <v>70000</v>
      </c>
    </row>
    <row r="24" spans="1:6" ht="16" x14ac:dyDescent="0.2">
      <c r="A24" s="14">
        <v>42320</v>
      </c>
      <c r="B24" s="21" t="s">
        <v>68</v>
      </c>
      <c r="C24" s="60">
        <v>32447.178749999995</v>
      </c>
      <c r="D24" s="60">
        <v>45539.899999999994</v>
      </c>
      <c r="E24" s="60">
        <v>91079.799999999988</v>
      </c>
      <c r="F24" s="64">
        <v>81900</v>
      </c>
    </row>
    <row r="25" spans="1:6" ht="16" x14ac:dyDescent="0.2">
      <c r="A25" s="14">
        <v>42386</v>
      </c>
      <c r="B25" s="21" t="s">
        <v>69</v>
      </c>
      <c r="C25" s="60">
        <v>17572.672499999997</v>
      </c>
      <c r="D25" s="60">
        <v>24663.399999999998</v>
      </c>
      <c r="E25" s="60">
        <v>41927.78</v>
      </c>
    </row>
    <row r="26" spans="1:6" ht="16" x14ac:dyDescent="0.2">
      <c r="A26" s="14">
        <v>42390</v>
      </c>
      <c r="B26" s="21" t="s">
        <v>70</v>
      </c>
      <c r="C26" s="60">
        <v>25736.355000000003</v>
      </c>
      <c r="D26" s="60">
        <v>36121.200000000004</v>
      </c>
      <c r="E26" s="60">
        <v>61406.04</v>
      </c>
      <c r="F26" s="64">
        <v>52500</v>
      </c>
    </row>
    <row r="27" spans="1:6" ht="16" x14ac:dyDescent="0.2">
      <c r="A27" s="14">
        <v>42395</v>
      </c>
      <c r="B27" s="21" t="s">
        <v>71</v>
      </c>
      <c r="C27" s="60">
        <v>32723.913749999992</v>
      </c>
      <c r="D27" s="60">
        <v>45928.299999999996</v>
      </c>
      <c r="E27" s="60">
        <v>78078.11</v>
      </c>
      <c r="F27" s="64">
        <v>70000</v>
      </c>
    </row>
    <row r="28" spans="1:6" ht="16" x14ac:dyDescent="0.2">
      <c r="A28" s="14">
        <v>42397</v>
      </c>
      <c r="B28" s="22" t="s">
        <v>72</v>
      </c>
      <c r="C28" s="60">
        <v>42202.087500000001</v>
      </c>
      <c r="D28" s="60">
        <v>59231</v>
      </c>
      <c r="E28" s="60">
        <v>100692.69999999998</v>
      </c>
      <c r="F28" s="64">
        <v>81900</v>
      </c>
    </row>
    <row r="29" spans="1:6" ht="16" x14ac:dyDescent="0.2">
      <c r="A29" s="14">
        <v>42490</v>
      </c>
      <c r="B29" s="21" t="s">
        <v>73</v>
      </c>
      <c r="C29" s="60">
        <v>16811.651250000003</v>
      </c>
      <c r="D29" s="60">
        <v>23595.3</v>
      </c>
      <c r="E29" s="60">
        <v>47190.6</v>
      </c>
    </row>
    <row r="30" spans="1:6" ht="16" x14ac:dyDescent="0.2">
      <c r="A30" s="14">
        <v>42496</v>
      </c>
      <c r="B30" s="22" t="s">
        <v>74</v>
      </c>
      <c r="C30" s="60">
        <v>20755.125</v>
      </c>
      <c r="D30" s="60">
        <v>29130</v>
      </c>
      <c r="E30" s="60">
        <v>58260</v>
      </c>
    </row>
    <row r="31" spans="1:6" ht="16" x14ac:dyDescent="0.2">
      <c r="A31" s="14">
        <v>42498</v>
      </c>
      <c r="B31" s="21" t="s">
        <v>75</v>
      </c>
      <c r="C31" s="60">
        <v>23730.026250000003</v>
      </c>
      <c r="D31" s="60">
        <v>33305.300000000003</v>
      </c>
      <c r="E31" s="60">
        <v>66610.600000000006</v>
      </c>
      <c r="F31" s="64">
        <v>52500</v>
      </c>
    </row>
    <row r="32" spans="1:6" ht="16" x14ac:dyDescent="0.2">
      <c r="A32" s="14">
        <v>42500</v>
      </c>
      <c r="B32" s="21" t="s">
        <v>76</v>
      </c>
      <c r="C32" s="60">
        <v>28642.072499999995</v>
      </c>
      <c r="D32" s="60">
        <v>40199.4</v>
      </c>
      <c r="E32" s="60">
        <v>80398.8</v>
      </c>
      <c r="F32" s="64">
        <v>70000</v>
      </c>
    </row>
    <row r="33" spans="1:6" ht="16" x14ac:dyDescent="0.2">
      <c r="A33" s="14">
        <v>42520</v>
      </c>
      <c r="B33" s="21" t="s">
        <v>77</v>
      </c>
      <c r="C33" s="60">
        <v>31340.238749999997</v>
      </c>
      <c r="D33" s="60">
        <v>43986.3</v>
      </c>
      <c r="E33" s="60">
        <v>87972.6</v>
      </c>
      <c r="F33" s="64">
        <v>81900</v>
      </c>
    </row>
    <row r="34" spans="1:6" ht="16" x14ac:dyDescent="0.2">
      <c r="A34" s="14">
        <v>42540</v>
      </c>
      <c r="B34" s="21" t="s">
        <v>78</v>
      </c>
      <c r="C34" s="60">
        <v>35076.161250000005</v>
      </c>
      <c r="D34" s="60">
        <v>49229.7</v>
      </c>
      <c r="E34" s="60">
        <v>98459.4</v>
      </c>
    </row>
    <row r="35" spans="1:6" ht="16" x14ac:dyDescent="0.2">
      <c r="A35" s="14">
        <v>42598</v>
      </c>
      <c r="B35" s="21" t="s">
        <v>79</v>
      </c>
      <c r="C35" s="60">
        <v>30025.747499999998</v>
      </c>
      <c r="D35" s="60">
        <v>42141.4</v>
      </c>
      <c r="E35" s="60">
        <v>84282.8</v>
      </c>
      <c r="F35" s="64">
        <v>59500</v>
      </c>
    </row>
    <row r="36" spans="1:6" ht="16" x14ac:dyDescent="0.2">
      <c r="A36" s="14">
        <v>42600</v>
      </c>
      <c r="B36" s="22" t="s">
        <v>80</v>
      </c>
      <c r="C36" s="60">
        <v>33900.037499999991</v>
      </c>
      <c r="D36" s="60">
        <v>47578.999999999993</v>
      </c>
      <c r="E36" s="60">
        <v>90400.099999999991</v>
      </c>
      <c r="F36" s="64">
        <v>75000</v>
      </c>
    </row>
    <row r="37" spans="1:6" ht="16" x14ac:dyDescent="0.2">
      <c r="A37" s="14">
        <v>42687</v>
      </c>
      <c r="B37" s="53" t="s">
        <v>154</v>
      </c>
      <c r="C37" s="60">
        <v>12522.258750000001</v>
      </c>
      <c r="D37" s="60">
        <v>17575.100000000002</v>
      </c>
      <c r="E37" s="60">
        <v>35150.200000000004</v>
      </c>
    </row>
    <row r="38" spans="1:6" ht="16" x14ac:dyDescent="0.2">
      <c r="A38" s="14">
        <v>42689</v>
      </c>
      <c r="B38" s="53" t="s">
        <v>155</v>
      </c>
      <c r="C38" s="60">
        <v>8578.7850000000017</v>
      </c>
      <c r="D38" s="60">
        <v>12040.400000000001</v>
      </c>
      <c r="E38" s="60">
        <v>35150.200000000004</v>
      </c>
    </row>
    <row r="39" spans="1:6" ht="16" x14ac:dyDescent="0.2">
      <c r="A39" s="14">
        <v>42693</v>
      </c>
      <c r="B39" s="53" t="s">
        <v>156</v>
      </c>
      <c r="C39" s="60">
        <v>14528.5875</v>
      </c>
      <c r="D39" s="60">
        <v>20391</v>
      </c>
      <c r="E39" s="60">
        <v>40782</v>
      </c>
    </row>
    <row r="40" spans="1:6" ht="16" x14ac:dyDescent="0.2">
      <c r="A40" s="6">
        <v>42694</v>
      </c>
      <c r="B40" s="53" t="s">
        <v>157</v>
      </c>
      <c r="C40" s="60">
        <v>9201.4387500000012</v>
      </c>
      <c r="D40" s="60">
        <v>12914.300000000001</v>
      </c>
      <c r="E40" s="60">
        <v>25828.600000000002</v>
      </c>
    </row>
    <row r="41" spans="1:6" ht="16" x14ac:dyDescent="0.2">
      <c r="A41" s="14">
        <v>42695</v>
      </c>
      <c r="B41" s="53" t="s">
        <v>158</v>
      </c>
      <c r="C41" s="60">
        <v>17572.672499999997</v>
      </c>
      <c r="D41" s="60">
        <v>24663.399999999998</v>
      </c>
      <c r="E41" s="60">
        <v>49326.799999999996</v>
      </c>
      <c r="F41" s="65">
        <v>51500</v>
      </c>
    </row>
    <row r="42" spans="1:6" ht="16" x14ac:dyDescent="0.2">
      <c r="A42" s="6">
        <v>42697</v>
      </c>
      <c r="B42" s="53" t="s">
        <v>159</v>
      </c>
      <c r="C42" s="60">
        <v>10654.297500000001</v>
      </c>
      <c r="D42" s="60">
        <v>24663.399999999998</v>
      </c>
      <c r="E42" s="60">
        <v>49326.799999999996</v>
      </c>
    </row>
    <row r="43" spans="1:6" ht="16" x14ac:dyDescent="0.2">
      <c r="A43" s="14">
        <v>42700</v>
      </c>
      <c r="B43" s="53" t="s">
        <v>160</v>
      </c>
      <c r="C43" s="60">
        <v>22969.005000000001</v>
      </c>
      <c r="D43" s="60">
        <v>32237.200000000004</v>
      </c>
      <c r="E43" s="60">
        <v>64474.400000000009</v>
      </c>
    </row>
    <row r="44" spans="1:6" ht="16" x14ac:dyDescent="0.2">
      <c r="A44" s="14">
        <v>42782</v>
      </c>
      <c r="B44" s="53" t="s">
        <v>161</v>
      </c>
      <c r="C44" s="60">
        <v>11276.951249999998</v>
      </c>
      <c r="D44" s="60">
        <v>15827.299999999997</v>
      </c>
      <c r="E44" s="60">
        <v>31654.599999999995</v>
      </c>
    </row>
    <row r="45" spans="1:6" ht="16" x14ac:dyDescent="0.2">
      <c r="A45" s="6">
        <v>42786</v>
      </c>
      <c r="B45" s="53" t="s">
        <v>162</v>
      </c>
      <c r="C45" s="60">
        <v>10723.481250000001</v>
      </c>
      <c r="D45" s="60">
        <v>15050.5</v>
      </c>
      <c r="E45" s="60">
        <v>30101</v>
      </c>
    </row>
    <row r="46" spans="1:6" ht="16" x14ac:dyDescent="0.2">
      <c r="A46" s="14">
        <v>42787</v>
      </c>
      <c r="B46" s="53" t="s">
        <v>163</v>
      </c>
      <c r="C46" s="60">
        <v>10723.481250000001</v>
      </c>
      <c r="D46" s="60">
        <v>15050.5</v>
      </c>
      <c r="E46" s="60">
        <v>30101</v>
      </c>
    </row>
    <row r="47" spans="1:6" ht="16" x14ac:dyDescent="0.2">
      <c r="A47" s="14">
        <v>42788</v>
      </c>
      <c r="B47" s="53" t="s">
        <v>164</v>
      </c>
      <c r="C47" s="60">
        <v>14528.5875</v>
      </c>
      <c r="D47" s="60">
        <v>20391</v>
      </c>
      <c r="E47" s="60">
        <v>40782</v>
      </c>
    </row>
    <row r="48" spans="1:6" ht="16" x14ac:dyDescent="0.2">
      <c r="A48" s="14">
        <v>42793</v>
      </c>
      <c r="B48" s="53" t="s">
        <v>165</v>
      </c>
      <c r="C48" s="60">
        <v>18541.245000000003</v>
      </c>
      <c r="D48" s="60">
        <v>26022.799999999999</v>
      </c>
      <c r="E48" s="60">
        <v>52045.599999999999</v>
      </c>
    </row>
    <row r="49" spans="1:6" ht="16" x14ac:dyDescent="0.2">
      <c r="A49" s="6">
        <v>42795</v>
      </c>
      <c r="B49" s="53" t="s">
        <v>166</v>
      </c>
      <c r="C49" s="60">
        <v>11138.583750000002</v>
      </c>
      <c r="D49" s="60">
        <v>15633.100000000002</v>
      </c>
      <c r="E49" s="60">
        <v>31266.200000000004</v>
      </c>
    </row>
    <row r="50" spans="1:6" ht="16" x14ac:dyDescent="0.2">
      <c r="A50" s="14">
        <v>42800</v>
      </c>
      <c r="B50" s="53" t="s">
        <v>167</v>
      </c>
      <c r="C50" s="60">
        <v>25459.620000000003</v>
      </c>
      <c r="D50" s="60">
        <v>35732.800000000003</v>
      </c>
      <c r="E50" s="60">
        <v>71465.600000000006</v>
      </c>
    </row>
    <row r="51" spans="1:6" ht="16" x14ac:dyDescent="0.2">
      <c r="A51" s="14">
        <v>42830</v>
      </c>
      <c r="B51" s="53" t="s">
        <v>168</v>
      </c>
      <c r="C51" s="60">
        <v>35837.182499999995</v>
      </c>
      <c r="D51" s="60">
        <v>50297.799999999996</v>
      </c>
      <c r="E51" s="60">
        <v>100595.59999999999</v>
      </c>
    </row>
    <row r="52" spans="1:6" ht="16" x14ac:dyDescent="0.2">
      <c r="A52" s="14">
        <v>42982</v>
      </c>
      <c r="B52" s="51" t="s">
        <v>169</v>
      </c>
      <c r="C52" s="60">
        <v>24698.598750000001</v>
      </c>
      <c r="D52" s="60">
        <v>34664.700000000004</v>
      </c>
      <c r="E52" s="60">
        <v>69329.400000000009</v>
      </c>
    </row>
    <row r="53" spans="1:6" ht="16" x14ac:dyDescent="0.2">
      <c r="A53" s="14">
        <v>42900</v>
      </c>
      <c r="B53" s="51" t="s">
        <v>170</v>
      </c>
      <c r="C53" s="60">
        <v>31168.267714285703</v>
      </c>
      <c r="D53" s="60">
        <v>43744.937142857132</v>
      </c>
      <c r="E53" s="60">
        <v>92957.991428571404</v>
      </c>
    </row>
    <row r="54" spans="1:6" ht="16" x14ac:dyDescent="0.2">
      <c r="A54" s="14">
        <v>42925</v>
      </c>
      <c r="B54" s="51" t="s">
        <v>171</v>
      </c>
      <c r="C54" s="60">
        <v>33129.132857142882</v>
      </c>
      <c r="D54" s="60">
        <v>46497.0285714286</v>
      </c>
      <c r="E54" s="60">
        <v>98806.185714285777</v>
      </c>
    </row>
    <row r="55" spans="1:6" ht="16" x14ac:dyDescent="0.2">
      <c r="A55" s="14">
        <v>42932</v>
      </c>
      <c r="B55" s="51" t="s">
        <v>172</v>
      </c>
      <c r="C55" s="60">
        <v>34694.662285714294</v>
      </c>
      <c r="D55" s="60">
        <v>48694.262857142865</v>
      </c>
      <c r="E55" s="60">
        <v>103475.3085714286</v>
      </c>
    </row>
    <row r="56" spans="1:6" ht="16" x14ac:dyDescent="0.2">
      <c r="A56" s="6">
        <v>42986</v>
      </c>
      <c r="B56" s="53" t="s">
        <v>184</v>
      </c>
      <c r="C56" s="60">
        <v>11138.583750000002</v>
      </c>
      <c r="D56" s="60">
        <v>26716.371428571412</v>
      </c>
      <c r="E56" s="60">
        <v>53432.742857142825</v>
      </c>
    </row>
    <row r="57" spans="1:6" ht="16" x14ac:dyDescent="0.2">
      <c r="A57" s="14">
        <v>43100</v>
      </c>
      <c r="B57" s="51" t="s">
        <v>185</v>
      </c>
      <c r="C57" s="60">
        <v>19035.414642857129</v>
      </c>
      <c r="D57" s="60">
        <v>26716.371428571412</v>
      </c>
      <c r="E57" s="60">
        <v>53432.742857142825</v>
      </c>
    </row>
    <row r="58" spans="1:6" ht="16" x14ac:dyDescent="0.2">
      <c r="A58" s="14">
        <v>43109</v>
      </c>
      <c r="B58" s="51" t="s">
        <v>186</v>
      </c>
      <c r="C58" s="60">
        <v>24471.280714285738</v>
      </c>
      <c r="D58" s="60">
        <v>34345.65714285717</v>
      </c>
      <c r="E58" s="60">
        <v>68691.314285714339</v>
      </c>
    </row>
    <row r="59" spans="1:6" ht="16" x14ac:dyDescent="0.2">
      <c r="A59" s="14">
        <v>43113</v>
      </c>
      <c r="B59" s="51" t="s">
        <v>187</v>
      </c>
      <c r="C59" s="60">
        <v>12611.209285714265</v>
      </c>
      <c r="D59" s="60">
        <v>17699.942857142829</v>
      </c>
      <c r="E59" s="60">
        <v>35399.885714285658</v>
      </c>
    </row>
    <row r="60" spans="1:6" ht="16" x14ac:dyDescent="0.2">
      <c r="A60" s="14">
        <v>43115</v>
      </c>
      <c r="B60" s="51" t="s">
        <v>188</v>
      </c>
      <c r="C60" s="60">
        <v>14884.38964285713</v>
      </c>
      <c r="D60" s="60">
        <v>20890.371428571412</v>
      </c>
      <c r="E60" s="60">
        <v>41780.742857142825</v>
      </c>
    </row>
    <row r="61" spans="1:6" ht="16" x14ac:dyDescent="0.2">
      <c r="A61" s="14">
        <v>43187</v>
      </c>
      <c r="B61" s="51" t="s">
        <v>189</v>
      </c>
      <c r="C61" s="60">
        <v>14016.627749999978</v>
      </c>
      <c r="D61" s="60">
        <v>19672.45999999997</v>
      </c>
      <c r="E61" s="60">
        <v>56207.028571428491</v>
      </c>
      <c r="F61" s="65">
        <v>38500</v>
      </c>
    </row>
    <row r="62" spans="1:6" ht="16" x14ac:dyDescent="0.2">
      <c r="A62" s="6">
        <v>43189</v>
      </c>
      <c r="B62" s="53" t="s">
        <v>190</v>
      </c>
      <c r="C62" s="60">
        <v>10557.440250000001</v>
      </c>
      <c r="D62" s="60">
        <v>19672.45999999997</v>
      </c>
      <c r="E62" s="60">
        <v>56207.028571428491</v>
      </c>
    </row>
    <row r="63" spans="1:6" ht="16" x14ac:dyDescent="0.2">
      <c r="A63" s="14">
        <v>43192</v>
      </c>
      <c r="B63" s="53" t="s">
        <v>191</v>
      </c>
      <c r="C63" s="60">
        <v>18984.021000000001</v>
      </c>
      <c r="D63" s="60">
        <v>26644.240000000002</v>
      </c>
      <c r="E63" s="60">
        <v>76126.400000000009</v>
      </c>
    </row>
    <row r="64" spans="1:6" ht="16" x14ac:dyDescent="0.2">
      <c r="A64" s="14">
        <v>43195</v>
      </c>
      <c r="B64" s="51" t="s">
        <v>192</v>
      </c>
      <c r="C64" s="60">
        <v>21018.023250000002</v>
      </c>
      <c r="D64" s="60">
        <v>29498.98</v>
      </c>
      <c r="E64" s="60">
        <v>84282.8</v>
      </c>
    </row>
    <row r="65" spans="1:6" ht="16" x14ac:dyDescent="0.2">
      <c r="A65" s="6">
        <v>43198</v>
      </c>
      <c r="B65" s="53" t="s">
        <v>193</v>
      </c>
      <c r="C65" s="60">
        <v>12639.871125</v>
      </c>
      <c r="D65" s="60">
        <v>29498.98</v>
      </c>
      <c r="E65" s="60">
        <v>84282.8</v>
      </c>
    </row>
    <row r="66" spans="1:6" ht="16" x14ac:dyDescent="0.2">
      <c r="A66" s="14">
        <v>43200</v>
      </c>
      <c r="B66" s="51" t="s">
        <v>194</v>
      </c>
      <c r="C66" s="60">
        <v>23197.311375000001</v>
      </c>
      <c r="D66" s="60">
        <v>32557.63</v>
      </c>
      <c r="E66" s="60">
        <v>93021.8</v>
      </c>
    </row>
    <row r="67" spans="1:6" ht="16" x14ac:dyDescent="0.2">
      <c r="A67" s="14">
        <v>43372</v>
      </c>
      <c r="B67" s="53" t="s">
        <v>203</v>
      </c>
      <c r="C67" s="60">
        <v>16188.997499999996</v>
      </c>
      <c r="D67" s="60">
        <v>22721.399999999998</v>
      </c>
      <c r="E67" s="60">
        <v>45442.799999999996</v>
      </c>
      <c r="F67" s="65">
        <v>38500</v>
      </c>
    </row>
    <row r="68" spans="1:6" ht="16" x14ac:dyDescent="0.2">
      <c r="A68" s="14">
        <v>43390</v>
      </c>
      <c r="B68" s="53" t="s">
        <v>204</v>
      </c>
      <c r="C68" s="60">
        <v>27811.867499999997</v>
      </c>
      <c r="D68" s="60">
        <v>39034.199999999997</v>
      </c>
      <c r="E68" s="60">
        <v>78068.399999999994</v>
      </c>
    </row>
    <row r="69" spans="1:6" ht="16" x14ac:dyDescent="0.2">
      <c r="A69" s="14">
        <v>43400</v>
      </c>
      <c r="B69" s="53" t="s">
        <v>205</v>
      </c>
      <c r="C69" s="60">
        <v>35422.080000000009</v>
      </c>
      <c r="D69" s="60">
        <v>49715.200000000004</v>
      </c>
      <c r="E69" s="60">
        <v>99430.400000000009</v>
      </c>
    </row>
    <row r="70" spans="1:6" ht="16" x14ac:dyDescent="0.2">
      <c r="A70" s="14">
        <v>43488</v>
      </c>
      <c r="B70" s="53" t="s">
        <v>206</v>
      </c>
      <c r="C70" s="60">
        <v>14943.690000000002</v>
      </c>
      <c r="D70" s="60">
        <v>20973.600000000002</v>
      </c>
      <c r="E70" s="60">
        <v>41947.200000000004</v>
      </c>
      <c r="F70" s="65">
        <v>38500</v>
      </c>
    </row>
    <row r="71" spans="1:6" ht="16" x14ac:dyDescent="0.2">
      <c r="A71" s="14">
        <v>43500</v>
      </c>
      <c r="B71" s="53" t="s">
        <v>207</v>
      </c>
      <c r="C71" s="60">
        <v>20132.471250000002</v>
      </c>
      <c r="D71" s="60">
        <v>28256.100000000002</v>
      </c>
      <c r="E71" s="60">
        <v>56512.200000000004</v>
      </c>
      <c r="F71" s="65">
        <v>51500</v>
      </c>
    </row>
    <row r="72" spans="1:6" ht="16" x14ac:dyDescent="0.2">
      <c r="A72" s="14">
        <v>43540</v>
      </c>
      <c r="B72" s="53" t="s">
        <v>208</v>
      </c>
      <c r="C72" s="60">
        <v>26359.008750000005</v>
      </c>
      <c r="D72" s="60">
        <v>36995.1</v>
      </c>
      <c r="E72" s="60">
        <v>73990.2</v>
      </c>
    </row>
    <row r="73" spans="1:6" ht="16" x14ac:dyDescent="0.2">
      <c r="A73" s="14">
        <v>43585</v>
      </c>
      <c r="B73" s="53" t="s">
        <v>221</v>
      </c>
      <c r="C73" s="60">
        <v>15497.160000000002</v>
      </c>
      <c r="D73" s="60">
        <v>21750.400000000001</v>
      </c>
      <c r="E73" s="60">
        <v>43500.800000000003</v>
      </c>
    </row>
    <row r="74" spans="1:6" ht="16" x14ac:dyDescent="0.2">
      <c r="A74" s="14">
        <v>43588</v>
      </c>
      <c r="B74" s="53" t="s">
        <v>222</v>
      </c>
      <c r="C74" s="60">
        <v>20201.655000000002</v>
      </c>
      <c r="D74" s="60">
        <v>28353.200000000004</v>
      </c>
      <c r="E74" s="60">
        <v>56706.400000000009</v>
      </c>
    </row>
    <row r="75" spans="1:6" ht="16" x14ac:dyDescent="0.2">
      <c r="A75" s="14">
        <v>43596</v>
      </c>
      <c r="B75" s="53" t="s">
        <v>223</v>
      </c>
      <c r="C75" s="60">
        <v>27535.1325</v>
      </c>
      <c r="D75" s="60">
        <v>38645.799999999996</v>
      </c>
      <c r="E75" s="60">
        <v>77291.599999999991</v>
      </c>
    </row>
    <row r="76" spans="1:6" ht="16" x14ac:dyDescent="0.2">
      <c r="A76" s="14">
        <v>43616</v>
      </c>
      <c r="B76" s="51" t="s">
        <v>219</v>
      </c>
      <c r="C76" s="60">
        <v>13896.050357142869</v>
      </c>
      <c r="D76" s="60">
        <v>19503.22857142859</v>
      </c>
      <c r="E76" s="60">
        <v>39006.45714285718</v>
      </c>
      <c r="F76" s="65">
        <v>38500</v>
      </c>
    </row>
    <row r="77" spans="1:6" ht="16" x14ac:dyDescent="0.2">
      <c r="A77" s="14">
        <v>43620</v>
      </c>
      <c r="B77" s="51" t="s">
        <v>220</v>
      </c>
      <c r="C77" s="60">
        <v>17908.707857142868</v>
      </c>
      <c r="D77" s="60">
        <v>25135.028571428586</v>
      </c>
      <c r="E77" s="60">
        <v>50270.057142857171</v>
      </c>
      <c r="F77" s="65">
        <v>51500</v>
      </c>
    </row>
    <row r="78" spans="1:6" ht="16" x14ac:dyDescent="0.2">
      <c r="A78" s="14">
        <v>43702</v>
      </c>
      <c r="B78" s="51" t="s">
        <v>217</v>
      </c>
      <c r="C78" s="60">
        <v>13846.633392857133</v>
      </c>
      <c r="D78" s="60">
        <v>19433.871428571412</v>
      </c>
      <c r="E78" s="60">
        <v>38867.742857142825</v>
      </c>
      <c r="F78" s="65">
        <v>38500</v>
      </c>
    </row>
    <row r="79" spans="1:6" ht="16" x14ac:dyDescent="0.2">
      <c r="A79" s="14">
        <v>43727</v>
      </c>
      <c r="B79" s="51" t="s">
        <v>218</v>
      </c>
      <c r="C79" s="60">
        <v>19737.135535714267</v>
      </c>
      <c r="D79" s="60">
        <v>27701.242857142828</v>
      </c>
      <c r="E79" s="60">
        <v>55402.485714285656</v>
      </c>
      <c r="F79" s="65">
        <v>51500</v>
      </c>
    </row>
    <row r="80" spans="1:6" ht="16" x14ac:dyDescent="0.2">
      <c r="A80" s="14">
        <v>43858</v>
      </c>
      <c r="B80" s="51" t="s">
        <v>142</v>
      </c>
      <c r="C80" s="60">
        <v>9796.4189999999999</v>
      </c>
      <c r="D80" s="60">
        <v>13749.36</v>
      </c>
      <c r="E80" s="60">
        <v>29217.39</v>
      </c>
      <c r="F80" s="65">
        <v>38500</v>
      </c>
    </row>
    <row r="81" spans="1:6" ht="16" x14ac:dyDescent="0.2">
      <c r="A81" s="14">
        <v>43862</v>
      </c>
      <c r="B81" s="51" t="s">
        <v>143</v>
      </c>
      <c r="C81" s="60">
        <v>13504.668</v>
      </c>
      <c r="D81" s="60">
        <v>18953.919999999998</v>
      </c>
      <c r="E81" s="60">
        <v>40277.079999999994</v>
      </c>
      <c r="F81" s="65">
        <v>51500</v>
      </c>
    </row>
    <row r="82" spans="1:6" ht="16" x14ac:dyDescent="0.2">
      <c r="A82" s="14">
        <v>43900</v>
      </c>
      <c r="B82" s="51" t="s">
        <v>141</v>
      </c>
      <c r="C82" s="60">
        <v>35034.650999999998</v>
      </c>
      <c r="D82" s="60">
        <v>49171.44</v>
      </c>
      <c r="E82" s="60">
        <v>104489.31</v>
      </c>
    </row>
    <row r="83" spans="1:6" ht="16" x14ac:dyDescent="0.2">
      <c r="A83" s="14">
        <v>44020</v>
      </c>
      <c r="B83" s="51" t="s">
        <v>225</v>
      </c>
      <c r="C83" s="60">
        <v>11828.444571428587</v>
      </c>
      <c r="D83" s="60">
        <v>16601.325714285736</v>
      </c>
      <c r="E83" s="60">
        <v>35277.817142857195</v>
      </c>
      <c r="F83" s="65">
        <v>38500</v>
      </c>
    </row>
    <row r="84" spans="1:6" ht="16" x14ac:dyDescent="0.2">
      <c r="A84" s="14">
        <v>44060</v>
      </c>
      <c r="B84" s="51" t="s">
        <v>226</v>
      </c>
      <c r="C84" s="60">
        <v>14421.84685714288</v>
      </c>
      <c r="D84" s="60">
        <v>20241.188571428604</v>
      </c>
      <c r="E84" s="60">
        <v>43012.525714285788</v>
      </c>
      <c r="F84" s="65">
        <v>51500</v>
      </c>
    </row>
    <row r="85" spans="1:6" ht="16" x14ac:dyDescent="0.2">
      <c r="A85" s="14">
        <v>44539</v>
      </c>
      <c r="B85" s="51" t="s">
        <v>227</v>
      </c>
      <c r="C85" s="60">
        <v>7803.9270000000015</v>
      </c>
      <c r="D85" s="60">
        <v>10952.880000000001</v>
      </c>
      <c r="E85" s="60">
        <v>23274.870000000003</v>
      </c>
    </row>
    <row r="86" spans="1:6" ht="16" x14ac:dyDescent="0.2">
      <c r="A86" s="14">
        <v>44541</v>
      </c>
      <c r="B86" s="51" t="s">
        <v>228</v>
      </c>
      <c r="C86" s="60">
        <v>8191.3559999999998</v>
      </c>
      <c r="D86" s="60">
        <v>11496.64</v>
      </c>
      <c r="E86" s="60">
        <v>24430.36</v>
      </c>
      <c r="F86" s="65">
        <v>38500</v>
      </c>
    </row>
    <row r="87" spans="1:6" ht="16" x14ac:dyDescent="0.2">
      <c r="A87" s="14">
        <v>44543</v>
      </c>
      <c r="B87" s="51" t="s">
        <v>229</v>
      </c>
      <c r="C87" s="60">
        <v>10073.153999999999</v>
      </c>
      <c r="D87" s="60">
        <v>14137.759999999998</v>
      </c>
      <c r="E87" s="60">
        <v>30042.739999999998</v>
      </c>
      <c r="F87" s="65">
        <v>51500</v>
      </c>
    </row>
    <row r="88" spans="1:6" ht="16" x14ac:dyDescent="0.2">
      <c r="A88" s="14">
        <v>44697</v>
      </c>
      <c r="B88" s="51" t="s">
        <v>144</v>
      </c>
      <c r="C88" s="60">
        <v>11014.053000000002</v>
      </c>
      <c r="D88" s="60">
        <v>15458.320000000002</v>
      </c>
      <c r="E88" s="60">
        <v>32848.930000000008</v>
      </c>
      <c r="F88" s="65">
        <v>38500</v>
      </c>
    </row>
    <row r="89" spans="1:6" ht="16" x14ac:dyDescent="0.2">
      <c r="A89" s="14">
        <v>44701</v>
      </c>
      <c r="B89" s="51" t="s">
        <v>152</v>
      </c>
      <c r="C89" s="60">
        <v>15995.282999999999</v>
      </c>
      <c r="D89" s="60">
        <v>22449.52</v>
      </c>
      <c r="E89" s="60">
        <v>47705.23</v>
      </c>
      <c r="F89" s="65">
        <v>51500</v>
      </c>
    </row>
    <row r="90" spans="1:6" ht="16" x14ac:dyDescent="0.2">
      <c r="A90" s="14">
        <v>44881</v>
      </c>
      <c r="B90" s="21" t="s">
        <v>81</v>
      </c>
      <c r="C90" s="60">
        <v>19150.061999999998</v>
      </c>
      <c r="D90" s="60">
        <v>26877.279999999999</v>
      </c>
      <c r="E90" s="60">
        <v>57114.22</v>
      </c>
    </row>
    <row r="91" spans="1:6" ht="16" x14ac:dyDescent="0.2">
      <c r="A91" s="14">
        <v>44883</v>
      </c>
      <c r="B91" s="57" t="s">
        <v>235</v>
      </c>
      <c r="C91" s="60">
        <v>26013.089999999997</v>
      </c>
      <c r="D91" s="60">
        <v>36509.599999999991</v>
      </c>
      <c r="E91" s="60">
        <v>77582.899999999994</v>
      </c>
    </row>
    <row r="92" spans="1:6" ht="16" x14ac:dyDescent="0.2">
      <c r="A92" s="14">
        <v>44888</v>
      </c>
      <c r="B92" s="21" t="s">
        <v>82</v>
      </c>
      <c r="C92" s="60">
        <v>32045.913</v>
      </c>
      <c r="D92" s="60">
        <v>44976.72</v>
      </c>
      <c r="E92" s="60">
        <v>95575.530000000013</v>
      </c>
    </row>
    <row r="93" spans="1:6" ht="16" x14ac:dyDescent="0.2">
      <c r="A93" s="14">
        <v>44890</v>
      </c>
      <c r="B93" s="21" t="s">
        <v>83</v>
      </c>
      <c r="C93" s="60">
        <v>34923.956999999995</v>
      </c>
      <c r="D93" s="60">
        <v>49016.079999999994</v>
      </c>
      <c r="E93" s="60">
        <v>104159.17</v>
      </c>
    </row>
    <row r="94" spans="1:6" ht="16" x14ac:dyDescent="0.2">
      <c r="A94" s="14">
        <v>51189</v>
      </c>
      <c r="B94" s="21" t="s">
        <v>84</v>
      </c>
      <c r="C94" s="60">
        <v>12868.177499999998</v>
      </c>
      <c r="D94" s="60">
        <v>18060.599999999999</v>
      </c>
      <c r="E94" s="60">
        <v>36121.199999999997</v>
      </c>
      <c r="F94" s="65">
        <v>38400</v>
      </c>
    </row>
    <row r="95" spans="1:6" ht="16" x14ac:dyDescent="0.2">
      <c r="A95" s="14">
        <v>51200</v>
      </c>
      <c r="B95" s="21" t="s">
        <v>85</v>
      </c>
      <c r="C95" s="60">
        <v>13975.117499999998</v>
      </c>
      <c r="D95" s="60">
        <v>19614.2</v>
      </c>
      <c r="E95" s="60">
        <v>39228.400000000001</v>
      </c>
      <c r="F95" s="65">
        <v>42700</v>
      </c>
    </row>
    <row r="96" spans="1:6" ht="16" x14ac:dyDescent="0.2">
      <c r="A96" s="14">
        <v>51220</v>
      </c>
      <c r="B96" s="21" t="s">
        <v>86</v>
      </c>
      <c r="C96" s="60">
        <v>16534.916249999998</v>
      </c>
      <c r="D96" s="60">
        <v>23206.9</v>
      </c>
      <c r="E96" s="60">
        <v>46413.8</v>
      </c>
      <c r="F96" s="65">
        <v>46200</v>
      </c>
    </row>
    <row r="97" spans="1:6" ht="16" x14ac:dyDescent="0.2">
      <c r="A97" s="14">
        <v>52287</v>
      </c>
      <c r="B97" s="21" t="s">
        <v>87</v>
      </c>
      <c r="C97" s="60">
        <v>12868.177499999998</v>
      </c>
      <c r="D97" s="60">
        <v>18060.599999999999</v>
      </c>
      <c r="E97" s="60">
        <v>36121.199999999997</v>
      </c>
      <c r="F97" s="65">
        <v>38400</v>
      </c>
    </row>
    <row r="98" spans="1:6" ht="16" x14ac:dyDescent="0.2">
      <c r="A98" s="14">
        <v>52300</v>
      </c>
      <c r="B98" s="21" t="s">
        <v>88</v>
      </c>
      <c r="C98" s="60">
        <v>13975.117499999998</v>
      </c>
      <c r="D98" s="60">
        <v>19614.2</v>
      </c>
      <c r="E98" s="60">
        <v>39228.400000000001</v>
      </c>
      <c r="F98" s="65">
        <v>42700</v>
      </c>
    </row>
    <row r="99" spans="1:6" ht="16" x14ac:dyDescent="0.2">
      <c r="A99" s="14">
        <v>52320</v>
      </c>
      <c r="B99" s="21" t="s">
        <v>89</v>
      </c>
      <c r="C99" s="60">
        <v>16534.916249999998</v>
      </c>
      <c r="D99" s="60">
        <v>23206.9</v>
      </c>
      <c r="E99" s="60">
        <v>46413.8</v>
      </c>
      <c r="F99" s="65">
        <v>46200</v>
      </c>
    </row>
    <row r="100" spans="1:6" ht="16" x14ac:dyDescent="0.2">
      <c r="A100" s="14">
        <v>52387</v>
      </c>
      <c r="B100" s="58" t="s">
        <v>236</v>
      </c>
      <c r="C100" s="60">
        <v>15289.608750000003</v>
      </c>
      <c r="D100" s="60">
        <v>21459.100000000002</v>
      </c>
      <c r="E100" s="60">
        <v>42918.200000000004</v>
      </c>
    </row>
    <row r="101" spans="1:6" ht="16" x14ac:dyDescent="0.2">
      <c r="A101" s="14">
        <v>52390</v>
      </c>
      <c r="B101" s="21" t="s">
        <v>90</v>
      </c>
      <c r="C101" s="60">
        <v>14805.3225</v>
      </c>
      <c r="D101" s="60">
        <v>20779.400000000001</v>
      </c>
      <c r="E101" s="60">
        <v>41558.800000000003</v>
      </c>
      <c r="F101" s="65">
        <v>38400</v>
      </c>
    </row>
    <row r="102" spans="1:6" ht="16" x14ac:dyDescent="0.2">
      <c r="A102" s="14">
        <v>52395</v>
      </c>
      <c r="B102" s="21" t="s">
        <v>91</v>
      </c>
      <c r="C102" s="60">
        <v>17019.202500000003</v>
      </c>
      <c r="D102" s="60">
        <v>23886.600000000002</v>
      </c>
      <c r="E102" s="60">
        <v>47773.200000000004</v>
      </c>
      <c r="F102" s="65">
        <v>42700</v>
      </c>
    </row>
    <row r="103" spans="1:6" ht="16" x14ac:dyDescent="0.2">
      <c r="A103" s="14">
        <v>52397</v>
      </c>
      <c r="B103" s="21" t="s">
        <v>92</v>
      </c>
      <c r="C103" s="60">
        <v>21377.778749999998</v>
      </c>
      <c r="D103" s="60">
        <v>30003.9</v>
      </c>
      <c r="E103" s="60">
        <v>60007.8</v>
      </c>
      <c r="F103" s="65">
        <v>46200</v>
      </c>
    </row>
    <row r="104" spans="1:6" ht="16" x14ac:dyDescent="0.2">
      <c r="A104" s="14">
        <v>52490</v>
      </c>
      <c r="B104" s="58" t="s">
        <v>239</v>
      </c>
      <c r="C104" s="60">
        <v>13767.566250000002</v>
      </c>
      <c r="D104" s="60">
        <v>19322.900000000001</v>
      </c>
      <c r="E104" s="60">
        <v>38645.800000000003</v>
      </c>
    </row>
    <row r="105" spans="1:6" ht="16" x14ac:dyDescent="0.2">
      <c r="A105" s="14">
        <v>52498</v>
      </c>
      <c r="B105" s="21" t="s">
        <v>93</v>
      </c>
      <c r="C105" s="60">
        <v>13698.382500000002</v>
      </c>
      <c r="D105" s="60">
        <v>19225.8</v>
      </c>
      <c r="E105" s="60">
        <v>38451.599999999999</v>
      </c>
      <c r="F105" s="65">
        <v>38400</v>
      </c>
    </row>
    <row r="106" spans="1:6" ht="16" x14ac:dyDescent="0.2">
      <c r="A106" s="14">
        <v>52500</v>
      </c>
      <c r="B106" s="21" t="s">
        <v>94</v>
      </c>
      <c r="C106" s="60">
        <v>15427.976250000002</v>
      </c>
      <c r="D106" s="60">
        <v>21653.3</v>
      </c>
      <c r="E106" s="60">
        <v>43306.6</v>
      </c>
      <c r="F106" s="65">
        <v>42700</v>
      </c>
    </row>
    <row r="107" spans="1:6" ht="16" x14ac:dyDescent="0.2">
      <c r="A107" s="14">
        <v>52540</v>
      </c>
      <c r="B107" s="21" t="s">
        <v>95</v>
      </c>
      <c r="C107" s="60">
        <v>19579.001250000001</v>
      </c>
      <c r="D107" s="60">
        <v>27479.3</v>
      </c>
      <c r="E107" s="60">
        <v>54958.6</v>
      </c>
      <c r="F107" s="65">
        <v>46200</v>
      </c>
    </row>
    <row r="108" spans="1:6" ht="16" x14ac:dyDescent="0.2">
      <c r="A108" s="14">
        <v>52598</v>
      </c>
      <c r="B108" s="21" t="s">
        <v>96</v>
      </c>
      <c r="C108" s="60">
        <v>14736.138749999998</v>
      </c>
      <c r="D108" s="60">
        <v>20682.299999999996</v>
      </c>
      <c r="E108" s="60">
        <v>41364.599999999991</v>
      </c>
      <c r="F108" s="65">
        <v>42900</v>
      </c>
    </row>
    <row r="109" spans="1:6" ht="16" x14ac:dyDescent="0.2">
      <c r="A109" s="14">
        <v>52600</v>
      </c>
      <c r="B109" s="21" t="s">
        <v>97</v>
      </c>
      <c r="C109" s="60">
        <v>16258.18125</v>
      </c>
      <c r="D109" s="60">
        <v>22818.5</v>
      </c>
      <c r="E109" s="60">
        <v>45637</v>
      </c>
    </row>
    <row r="110" spans="1:6" ht="16" x14ac:dyDescent="0.2">
      <c r="A110" s="14">
        <v>52687</v>
      </c>
      <c r="B110" s="42" t="s">
        <v>104</v>
      </c>
      <c r="C110" s="60">
        <v>9754.9087500000005</v>
      </c>
      <c r="D110" s="60">
        <v>13691.100000000002</v>
      </c>
      <c r="E110" s="60">
        <v>27382.200000000004</v>
      </c>
    </row>
    <row r="111" spans="1:6" ht="16" x14ac:dyDescent="0.2">
      <c r="A111" s="14">
        <v>52693</v>
      </c>
      <c r="B111" s="41" t="s">
        <v>103</v>
      </c>
      <c r="C111" s="60">
        <v>10446.746249999998</v>
      </c>
      <c r="D111" s="60">
        <v>14662.1</v>
      </c>
      <c r="E111" s="60">
        <v>29324.2</v>
      </c>
    </row>
    <row r="112" spans="1:6" ht="16" x14ac:dyDescent="0.2">
      <c r="A112" s="3">
        <v>52694</v>
      </c>
      <c r="B112" s="53" t="s">
        <v>224</v>
      </c>
      <c r="C112" s="60">
        <v>7956.1312500000004</v>
      </c>
      <c r="D112" s="60">
        <v>14662.1</v>
      </c>
      <c r="E112" s="60">
        <v>29324.2</v>
      </c>
    </row>
    <row r="113" spans="1:6" ht="16" x14ac:dyDescent="0.2">
      <c r="A113" s="14">
        <v>52695</v>
      </c>
      <c r="B113" s="42" t="s">
        <v>105</v>
      </c>
      <c r="C113" s="60">
        <v>11138.583750000002</v>
      </c>
      <c r="D113" s="60">
        <v>15633.100000000002</v>
      </c>
      <c r="E113" s="60">
        <v>31266.200000000004</v>
      </c>
      <c r="F113" s="65">
        <v>38400</v>
      </c>
    </row>
    <row r="114" spans="1:6" ht="16" x14ac:dyDescent="0.2">
      <c r="A114" s="3">
        <v>52697</v>
      </c>
      <c r="B114" s="42" t="s">
        <v>106</v>
      </c>
      <c r="C114" s="60">
        <v>8578.7850000000017</v>
      </c>
      <c r="D114" s="60">
        <v>15633.100000000002</v>
      </c>
      <c r="E114" s="60">
        <v>31266.200000000004</v>
      </c>
    </row>
    <row r="115" spans="1:6" ht="16" x14ac:dyDescent="0.2">
      <c r="A115" s="14">
        <v>52700</v>
      </c>
      <c r="B115" s="42" t="s">
        <v>107</v>
      </c>
      <c r="C115" s="60">
        <v>12729.81</v>
      </c>
      <c r="D115" s="60">
        <v>17866.399999999998</v>
      </c>
      <c r="E115" s="60">
        <v>35732.799999999996</v>
      </c>
    </row>
    <row r="116" spans="1:6" ht="16" x14ac:dyDescent="0.2">
      <c r="A116" s="14">
        <v>52782</v>
      </c>
      <c r="B116" s="51" t="s">
        <v>175</v>
      </c>
      <c r="C116" s="60">
        <v>10170.011250000001</v>
      </c>
      <c r="D116" s="60">
        <v>14273.700000000003</v>
      </c>
      <c r="E116" s="60">
        <v>28547.400000000005</v>
      </c>
    </row>
    <row r="117" spans="1:6" ht="16" x14ac:dyDescent="0.2">
      <c r="A117" s="14">
        <v>52793</v>
      </c>
      <c r="B117" s="51" t="s">
        <v>176</v>
      </c>
      <c r="C117" s="60">
        <v>13075.72875</v>
      </c>
      <c r="D117" s="60">
        <v>18351.900000000001</v>
      </c>
      <c r="E117" s="60">
        <v>36703.800000000003</v>
      </c>
      <c r="F117" s="65">
        <v>38400</v>
      </c>
    </row>
    <row r="118" spans="1:6" ht="16" x14ac:dyDescent="0.2">
      <c r="A118" s="6">
        <v>52795</v>
      </c>
      <c r="B118" s="53" t="s">
        <v>177</v>
      </c>
      <c r="C118" s="60">
        <v>7817.7637500000019</v>
      </c>
      <c r="D118" s="60">
        <v>18351.900000000001</v>
      </c>
      <c r="E118" s="60">
        <v>36703.800000000003</v>
      </c>
    </row>
    <row r="119" spans="1:6" ht="16" x14ac:dyDescent="0.2">
      <c r="A119" s="14">
        <v>52800</v>
      </c>
      <c r="B119" s="53" t="s">
        <v>178</v>
      </c>
      <c r="C119" s="60">
        <v>16604.099999999999</v>
      </c>
      <c r="D119" s="60">
        <v>23304</v>
      </c>
      <c r="E119" s="60">
        <v>46608</v>
      </c>
    </row>
    <row r="120" spans="1:6" ht="16" x14ac:dyDescent="0.2">
      <c r="A120" s="14">
        <v>52830</v>
      </c>
      <c r="B120" s="53" t="s">
        <v>179</v>
      </c>
      <c r="C120" s="60">
        <v>18056.958750000002</v>
      </c>
      <c r="D120" s="60">
        <v>25343.1</v>
      </c>
      <c r="E120" s="60">
        <v>50686.2</v>
      </c>
    </row>
    <row r="121" spans="1:6" ht="16" x14ac:dyDescent="0.2">
      <c r="A121" s="14">
        <v>52892</v>
      </c>
      <c r="B121" s="57" t="s">
        <v>240</v>
      </c>
      <c r="C121" s="60">
        <v>16050.629999999997</v>
      </c>
      <c r="D121" s="60">
        <v>22527.200000000001</v>
      </c>
      <c r="E121" s="60">
        <v>45054.400000000001</v>
      </c>
    </row>
    <row r="122" spans="1:6" ht="16" x14ac:dyDescent="0.2">
      <c r="A122" s="14">
        <v>52900</v>
      </c>
      <c r="B122" s="51" t="s">
        <v>173</v>
      </c>
      <c r="C122" s="60">
        <v>17375.004642857137</v>
      </c>
      <c r="D122" s="60">
        <v>24385.971428571418</v>
      </c>
      <c r="E122" s="60">
        <v>48771.942857142836</v>
      </c>
    </row>
    <row r="123" spans="1:6" ht="16" x14ac:dyDescent="0.2">
      <c r="A123" s="14">
        <v>52925</v>
      </c>
      <c r="B123" s="51" t="s">
        <v>174</v>
      </c>
      <c r="C123" s="60">
        <v>18640.078928571402</v>
      </c>
      <c r="D123" s="60">
        <v>26161.514285714245</v>
      </c>
      <c r="E123" s="60">
        <v>52323.028571428491</v>
      </c>
    </row>
    <row r="124" spans="1:6" ht="16" x14ac:dyDescent="0.2">
      <c r="A124" s="6">
        <v>52986</v>
      </c>
      <c r="B124" s="51" t="s">
        <v>180</v>
      </c>
      <c r="C124" s="60">
        <v>7817.7637500000019</v>
      </c>
      <c r="D124" s="60">
        <v>10972.300000000001</v>
      </c>
      <c r="E124" s="60">
        <v>21944.600000000002</v>
      </c>
    </row>
    <row r="125" spans="1:6" ht="16" x14ac:dyDescent="0.2">
      <c r="A125" s="14">
        <v>53100</v>
      </c>
      <c r="B125" s="51" t="s">
        <v>181</v>
      </c>
      <c r="C125" s="60">
        <v>10832.198571428575</v>
      </c>
      <c r="D125" s="60">
        <v>15203.085714285717</v>
      </c>
      <c r="E125" s="60">
        <v>30406.171428571433</v>
      </c>
    </row>
    <row r="126" spans="1:6" ht="16" x14ac:dyDescent="0.2">
      <c r="A126" s="14">
        <v>53115</v>
      </c>
      <c r="B126" s="51" t="s">
        <v>182</v>
      </c>
      <c r="C126" s="60">
        <v>10733.364642857141</v>
      </c>
      <c r="D126" s="60">
        <v>15064.371428571427</v>
      </c>
      <c r="E126" s="60">
        <v>30128.742857142854</v>
      </c>
    </row>
    <row r="127" spans="1:6" ht="16" x14ac:dyDescent="0.2">
      <c r="A127" s="14">
        <v>53117</v>
      </c>
      <c r="B127" s="51" t="s">
        <v>183</v>
      </c>
      <c r="C127" s="60">
        <v>10239.195000000002</v>
      </c>
      <c r="D127" s="60">
        <v>14370.800000000001</v>
      </c>
      <c r="E127" s="60">
        <v>28741.600000000002</v>
      </c>
    </row>
    <row r="128" spans="1:6" ht="16" x14ac:dyDescent="0.2">
      <c r="A128" s="14">
        <v>53187</v>
      </c>
      <c r="B128" s="51" t="s">
        <v>195</v>
      </c>
      <c r="C128" s="60">
        <v>11553.686249999999</v>
      </c>
      <c r="D128" s="60">
        <v>16215.699999999999</v>
      </c>
      <c r="E128" s="60">
        <v>32431.399999999998</v>
      </c>
    </row>
    <row r="129" spans="1:6" ht="16" x14ac:dyDescent="0.2">
      <c r="A129" s="14">
        <v>53195</v>
      </c>
      <c r="B129" s="51" t="s">
        <v>196</v>
      </c>
      <c r="C129" s="60">
        <v>17434.304999999997</v>
      </c>
      <c r="D129" s="60">
        <v>24469.200000000001</v>
      </c>
      <c r="E129" s="60">
        <v>48938.400000000001</v>
      </c>
      <c r="F129" s="65">
        <v>38400</v>
      </c>
    </row>
    <row r="130" spans="1:6" ht="16" x14ac:dyDescent="0.2">
      <c r="A130" s="6">
        <v>53198</v>
      </c>
      <c r="B130" s="51" t="s">
        <v>197</v>
      </c>
      <c r="C130" s="60">
        <v>11346.135</v>
      </c>
      <c r="D130" s="60">
        <v>24469.200000000001</v>
      </c>
      <c r="E130" s="60">
        <v>48938.400000000001</v>
      </c>
    </row>
    <row r="131" spans="1:6" ht="16" x14ac:dyDescent="0.2">
      <c r="A131" s="14">
        <v>53200</v>
      </c>
      <c r="B131" s="51" t="s">
        <v>198</v>
      </c>
      <c r="C131" s="60">
        <v>19717.368750000001</v>
      </c>
      <c r="D131" s="60">
        <v>27673.5</v>
      </c>
      <c r="E131" s="60">
        <v>55347</v>
      </c>
    </row>
    <row r="132" spans="1:6" ht="16" x14ac:dyDescent="0.2">
      <c r="A132" s="14">
        <v>53372</v>
      </c>
      <c r="B132" s="53" t="s">
        <v>199</v>
      </c>
      <c r="C132" s="60">
        <v>12591.442499999997</v>
      </c>
      <c r="D132" s="60">
        <v>17672.2</v>
      </c>
      <c r="E132" s="60">
        <v>35344.400000000001</v>
      </c>
    </row>
    <row r="133" spans="1:6" ht="16" x14ac:dyDescent="0.2">
      <c r="A133" s="14">
        <v>53374</v>
      </c>
      <c r="B133" s="53" t="s">
        <v>200</v>
      </c>
      <c r="C133" s="60">
        <v>12729.81</v>
      </c>
      <c r="D133" s="60">
        <v>17866.399999999998</v>
      </c>
      <c r="E133" s="60">
        <v>35732.799999999996</v>
      </c>
    </row>
    <row r="134" spans="1:6" ht="16" x14ac:dyDescent="0.2">
      <c r="A134" s="14">
        <v>53390</v>
      </c>
      <c r="B134" s="53" t="s">
        <v>201</v>
      </c>
      <c r="C134" s="60">
        <v>15151.241249999997</v>
      </c>
      <c r="D134" s="60">
        <v>21264.899999999998</v>
      </c>
      <c r="E134" s="60">
        <v>42529.799999999996</v>
      </c>
    </row>
    <row r="135" spans="1:6" ht="16" x14ac:dyDescent="0.2">
      <c r="A135" s="14">
        <v>53400</v>
      </c>
      <c r="B135" s="53" t="s">
        <v>202</v>
      </c>
      <c r="C135" s="60">
        <v>18679.612499999999</v>
      </c>
      <c r="D135" s="60">
        <v>26217</v>
      </c>
      <c r="E135" s="60">
        <v>52434</v>
      </c>
    </row>
    <row r="136" spans="1:6" ht="16" x14ac:dyDescent="0.2">
      <c r="A136" s="14">
        <v>53488</v>
      </c>
      <c r="B136" s="53" t="s">
        <v>209</v>
      </c>
      <c r="C136" s="60">
        <v>11553.686249999999</v>
      </c>
      <c r="D136" s="60">
        <v>16215.699999999999</v>
      </c>
      <c r="E136" s="60">
        <v>32431.399999999998</v>
      </c>
    </row>
    <row r="137" spans="1:6" ht="16" x14ac:dyDescent="0.2">
      <c r="A137" s="14">
        <v>53493</v>
      </c>
      <c r="B137" s="53" t="s">
        <v>210</v>
      </c>
      <c r="C137" s="60">
        <v>12383.891249999999</v>
      </c>
      <c r="D137" s="60">
        <v>17380.899999999998</v>
      </c>
      <c r="E137" s="60">
        <v>34761.799999999996</v>
      </c>
      <c r="F137" s="65">
        <v>38400</v>
      </c>
    </row>
    <row r="138" spans="1:6" ht="16" x14ac:dyDescent="0.2">
      <c r="A138" s="14">
        <v>53540</v>
      </c>
      <c r="B138" s="53" t="s">
        <v>153</v>
      </c>
      <c r="C138" s="60">
        <v>13767.566250000002</v>
      </c>
      <c r="D138" s="60">
        <v>19322.900000000001</v>
      </c>
      <c r="E138" s="60">
        <v>38645.800000000003</v>
      </c>
    </row>
    <row r="139" spans="1:6" ht="16" x14ac:dyDescent="0.2">
      <c r="A139" s="14">
        <v>53588</v>
      </c>
      <c r="B139" s="53" t="s">
        <v>211</v>
      </c>
      <c r="C139" s="60">
        <v>14528.5875</v>
      </c>
      <c r="D139" s="60">
        <v>20391</v>
      </c>
      <c r="E139" s="60">
        <v>40782</v>
      </c>
    </row>
    <row r="140" spans="1:6" ht="16" x14ac:dyDescent="0.2">
      <c r="A140" s="14">
        <v>53596</v>
      </c>
      <c r="B140" s="53" t="s">
        <v>212</v>
      </c>
      <c r="C140" s="60">
        <v>15635.527500000004</v>
      </c>
      <c r="D140" s="60">
        <v>21944.600000000002</v>
      </c>
      <c r="E140" s="60">
        <v>43889.200000000004</v>
      </c>
    </row>
    <row r="141" spans="1:6" ht="16" x14ac:dyDescent="0.2">
      <c r="A141" s="14">
        <v>53616</v>
      </c>
      <c r="B141" s="51" t="s">
        <v>213</v>
      </c>
      <c r="C141" s="60">
        <v>10249.078392857142</v>
      </c>
      <c r="D141" s="60">
        <v>14384.671428571426</v>
      </c>
      <c r="E141" s="60">
        <v>28769.342857142852</v>
      </c>
    </row>
    <row r="142" spans="1:6" ht="16" x14ac:dyDescent="0.2">
      <c r="A142" s="14">
        <v>53620</v>
      </c>
      <c r="B142" s="51" t="s">
        <v>214</v>
      </c>
      <c r="C142" s="60">
        <v>10377.5625</v>
      </c>
      <c r="D142" s="60">
        <v>14565</v>
      </c>
      <c r="E142" s="60">
        <v>29130</v>
      </c>
    </row>
    <row r="143" spans="1:6" ht="16" x14ac:dyDescent="0.2">
      <c r="A143" s="14">
        <v>53702</v>
      </c>
      <c r="B143" s="51" t="s">
        <v>215</v>
      </c>
      <c r="C143" s="60">
        <v>10170.011250000001</v>
      </c>
      <c r="D143" s="60">
        <v>14273.700000000003</v>
      </c>
      <c r="E143" s="60">
        <v>28547.400000000005</v>
      </c>
    </row>
    <row r="144" spans="1:6" ht="16" x14ac:dyDescent="0.2">
      <c r="A144" s="14">
        <v>53727</v>
      </c>
      <c r="B144" s="51" t="s">
        <v>216</v>
      </c>
      <c r="C144" s="60">
        <v>12532.142142857132</v>
      </c>
      <c r="D144" s="60">
        <v>17588.971428571414</v>
      </c>
      <c r="E144" s="60">
        <v>35177.942857142829</v>
      </c>
      <c r="F144" s="65">
        <v>38400</v>
      </c>
    </row>
    <row r="145" spans="1:6" ht="16" x14ac:dyDescent="0.2">
      <c r="A145" s="14">
        <v>53859</v>
      </c>
      <c r="B145" s="51" t="s">
        <v>149</v>
      </c>
      <c r="C145" s="60">
        <v>10239.195000000002</v>
      </c>
      <c r="D145" s="60">
        <v>14370.800000000001</v>
      </c>
      <c r="E145" s="60">
        <v>28741.600000000002</v>
      </c>
    </row>
    <row r="146" spans="1:6" ht="16" x14ac:dyDescent="0.2">
      <c r="A146" s="14">
        <v>53900</v>
      </c>
      <c r="B146" s="51" t="s">
        <v>148</v>
      </c>
      <c r="C146" s="60">
        <v>16673.283750000002</v>
      </c>
      <c r="D146" s="60">
        <v>23401.100000000002</v>
      </c>
      <c r="E146" s="60">
        <v>46802.200000000004</v>
      </c>
    </row>
    <row r="147" spans="1:6" ht="16" x14ac:dyDescent="0.2">
      <c r="A147" s="14">
        <v>54020</v>
      </c>
      <c r="B147" s="51" t="s">
        <v>230</v>
      </c>
      <c r="C147" s="60">
        <v>11524.036071428573</v>
      </c>
      <c r="D147" s="60">
        <v>16174.085714285715</v>
      </c>
      <c r="E147" s="60">
        <v>32348.17142857143</v>
      </c>
    </row>
    <row r="148" spans="1:6" ht="16" x14ac:dyDescent="0.2">
      <c r="A148" s="14">
        <v>54060</v>
      </c>
      <c r="B148" s="51" t="s">
        <v>231</v>
      </c>
      <c r="C148" s="60">
        <v>11524.036071428573</v>
      </c>
      <c r="D148" s="60">
        <v>16174.085714285715</v>
      </c>
      <c r="E148" s="60">
        <v>32348.17142857143</v>
      </c>
      <c r="F148" s="65">
        <v>38400</v>
      </c>
    </row>
    <row r="149" spans="1:6" ht="16" x14ac:dyDescent="0.2">
      <c r="A149" s="14">
        <v>54202</v>
      </c>
      <c r="B149" s="51" t="s">
        <v>232</v>
      </c>
      <c r="C149" s="60">
        <v>10881.615535714287</v>
      </c>
      <c r="D149" s="60">
        <v>15272.442857142858</v>
      </c>
      <c r="E149" s="60">
        <v>30544.885714285716</v>
      </c>
    </row>
    <row r="150" spans="1:6" ht="16" x14ac:dyDescent="0.2">
      <c r="A150" s="14">
        <v>54206</v>
      </c>
      <c r="B150" s="51" t="s">
        <v>233</v>
      </c>
      <c r="C150" s="60">
        <v>12018.205714285736</v>
      </c>
      <c r="D150" s="60">
        <v>16867.657142857173</v>
      </c>
      <c r="E150" s="60">
        <v>33735.314285714347</v>
      </c>
    </row>
    <row r="151" spans="1:6" ht="16" x14ac:dyDescent="0.2">
      <c r="A151" s="14">
        <v>54539</v>
      </c>
      <c r="B151" s="51" t="s">
        <v>150</v>
      </c>
      <c r="C151" s="60">
        <v>7264.2937499999998</v>
      </c>
      <c r="D151" s="60">
        <v>10195.5</v>
      </c>
      <c r="E151" s="60">
        <v>20391</v>
      </c>
    </row>
    <row r="152" spans="1:6" ht="16" x14ac:dyDescent="0.2">
      <c r="A152" s="14">
        <v>54543</v>
      </c>
      <c r="B152" s="51" t="s">
        <v>151</v>
      </c>
      <c r="C152" s="60">
        <v>7541.0287500000013</v>
      </c>
      <c r="D152" s="60">
        <v>10583.9</v>
      </c>
      <c r="E152" s="60">
        <v>21167.8</v>
      </c>
    </row>
    <row r="153" spans="1:6" ht="16" x14ac:dyDescent="0.2">
      <c r="A153" s="14">
        <v>54701</v>
      </c>
      <c r="B153" s="51" t="s">
        <v>146</v>
      </c>
      <c r="C153" s="60">
        <v>13006.544999999998</v>
      </c>
      <c r="D153" s="60">
        <v>18254.799999999996</v>
      </c>
      <c r="E153" s="60">
        <v>36509.599999999991</v>
      </c>
      <c r="F153" s="65">
        <v>38400</v>
      </c>
    </row>
    <row r="154" spans="1:6" ht="16" x14ac:dyDescent="0.2">
      <c r="A154" s="14">
        <v>54798</v>
      </c>
      <c r="B154" s="58" t="s">
        <v>237</v>
      </c>
      <c r="C154" s="60">
        <v>10170.011250000001</v>
      </c>
      <c r="D154" s="60">
        <v>14273.700000000003</v>
      </c>
      <c r="E154" s="60">
        <v>28547.400000000005</v>
      </c>
    </row>
    <row r="155" spans="1:6" ht="16" x14ac:dyDescent="0.2">
      <c r="A155" s="14">
        <v>54883</v>
      </c>
      <c r="B155" s="58" t="s">
        <v>238</v>
      </c>
      <c r="C155" s="60">
        <v>15358.792500000001</v>
      </c>
      <c r="D155" s="60">
        <v>21556.200000000004</v>
      </c>
      <c r="E155" s="60">
        <v>43112.400000000009</v>
      </c>
    </row>
    <row r="156" spans="1:6" ht="16" x14ac:dyDescent="0.2">
      <c r="A156" s="14">
        <v>54888</v>
      </c>
      <c r="B156" s="21" t="s">
        <v>98</v>
      </c>
      <c r="C156" s="60">
        <v>18195.326249999998</v>
      </c>
      <c r="D156" s="60">
        <v>25537.299999999996</v>
      </c>
      <c r="E156" s="60">
        <v>51074.599999999991</v>
      </c>
    </row>
    <row r="157" spans="1:6" ht="16" x14ac:dyDescent="0.2">
      <c r="A157" s="14">
        <v>54890</v>
      </c>
      <c r="B157" s="21" t="s">
        <v>99</v>
      </c>
      <c r="C157" s="60">
        <v>22899.821250000005</v>
      </c>
      <c r="D157" s="60">
        <v>32140.100000000002</v>
      </c>
      <c r="E157" s="60">
        <v>64280.200000000004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2D15-BCF2-AF48-88CE-8B12AED86FF1}">
  <dimension ref="A1:E157"/>
  <sheetViews>
    <sheetView zoomScale="137" zoomScaleNormal="137" workbookViewId="0">
      <selection activeCell="G10" sqref="G10"/>
    </sheetView>
  </sheetViews>
  <sheetFormatPr baseColWidth="10" defaultRowHeight="15" x14ac:dyDescent="0.2"/>
  <cols>
    <col min="2" max="2" width="31.1640625" bestFit="1" customWidth="1"/>
  </cols>
  <sheetData>
    <row r="1" spans="1:5" ht="16" x14ac:dyDescent="0.2">
      <c r="A1" s="9" t="s">
        <v>25</v>
      </c>
      <c r="B1" s="7" t="s">
        <v>26</v>
      </c>
      <c r="C1" s="63" t="s">
        <v>41</v>
      </c>
      <c r="D1" s="63" t="s">
        <v>241</v>
      </c>
      <c r="E1" s="63" t="s">
        <v>56</v>
      </c>
    </row>
    <row r="2" spans="1:5" ht="16" x14ac:dyDescent="0.2">
      <c r="A2" s="43">
        <v>24557</v>
      </c>
      <c r="B2" s="47" t="s">
        <v>123</v>
      </c>
      <c r="C2" s="64">
        <v>86400</v>
      </c>
      <c r="D2" s="64">
        <v>115200.00000000001</v>
      </c>
      <c r="E2" s="65">
        <v>99400</v>
      </c>
    </row>
    <row r="3" spans="1:5" ht="16" x14ac:dyDescent="0.2">
      <c r="A3" s="43">
        <v>25221</v>
      </c>
      <c r="B3" s="47" t="s">
        <v>122</v>
      </c>
      <c r="C3" s="64">
        <v>107399.99999999999</v>
      </c>
      <c r="D3" s="64">
        <v>143200</v>
      </c>
      <c r="E3" s="65">
        <v>99400</v>
      </c>
    </row>
    <row r="4" spans="1:5" ht="16" x14ac:dyDescent="0.2">
      <c r="A4" s="43">
        <v>25339</v>
      </c>
      <c r="B4" s="47" t="s">
        <v>121</v>
      </c>
      <c r="C4" s="64">
        <v>89400</v>
      </c>
      <c r="D4" s="64">
        <v>119200</v>
      </c>
      <c r="E4" s="65">
        <v>79800</v>
      </c>
    </row>
    <row r="5" spans="1:5" ht="16" x14ac:dyDescent="0.2">
      <c r="A5" s="43">
        <v>25444</v>
      </c>
      <c r="B5" s="47" t="s">
        <v>120</v>
      </c>
      <c r="C5" s="64">
        <v>92400</v>
      </c>
      <c r="D5" s="64">
        <v>123200</v>
      </c>
      <c r="E5" s="65">
        <v>99400</v>
      </c>
    </row>
    <row r="6" spans="1:5" ht="16" x14ac:dyDescent="0.2">
      <c r="A6" s="43">
        <v>25454</v>
      </c>
      <c r="B6" s="48" t="s">
        <v>119</v>
      </c>
      <c r="C6" s="64">
        <v>82800.000000000015</v>
      </c>
      <c r="D6" s="64">
        <v>110400</v>
      </c>
      <c r="E6" s="65">
        <v>89950</v>
      </c>
    </row>
    <row r="7" spans="1:5" ht="16" x14ac:dyDescent="0.2">
      <c r="A7" s="43">
        <v>25459</v>
      </c>
      <c r="B7" s="49" t="s">
        <v>124</v>
      </c>
      <c r="C7" s="64">
        <v>95400</v>
      </c>
      <c r="D7" s="64">
        <v>127200</v>
      </c>
      <c r="E7" s="65">
        <v>89950</v>
      </c>
    </row>
    <row r="8" spans="1:5" ht="16" x14ac:dyDescent="0.2">
      <c r="A8" s="43">
        <v>25466</v>
      </c>
      <c r="B8" s="48" t="s">
        <v>114</v>
      </c>
      <c r="C8" s="64">
        <v>67200</v>
      </c>
      <c r="D8" s="64">
        <v>89600.000000000015</v>
      </c>
      <c r="E8" s="65">
        <v>89950</v>
      </c>
    </row>
    <row r="9" spans="1:5" ht="16" x14ac:dyDescent="0.2">
      <c r="A9" s="43">
        <v>25473</v>
      </c>
      <c r="B9" s="48" t="s">
        <v>111</v>
      </c>
      <c r="C9" s="64">
        <v>95100.000000000015</v>
      </c>
      <c r="D9" s="64">
        <v>126800.00000000001</v>
      </c>
      <c r="E9" s="65">
        <v>89950</v>
      </c>
    </row>
    <row r="10" spans="1:5" ht="16" x14ac:dyDescent="0.2">
      <c r="A10" s="43">
        <v>25481</v>
      </c>
      <c r="B10" s="48" t="s">
        <v>110</v>
      </c>
      <c r="C10" s="64">
        <v>95400</v>
      </c>
      <c r="D10" s="64">
        <v>127200</v>
      </c>
      <c r="E10" s="65">
        <v>89950</v>
      </c>
    </row>
    <row r="11" spans="1:5" ht="16" x14ac:dyDescent="0.2">
      <c r="A11" s="43">
        <v>26062</v>
      </c>
      <c r="B11" s="48" t="s">
        <v>108</v>
      </c>
      <c r="C11" s="64">
        <v>73199.999999999985</v>
      </c>
      <c r="D11" s="64">
        <v>97600</v>
      </c>
      <c r="E11" s="65">
        <v>89950</v>
      </c>
    </row>
    <row r="12" spans="1:5" ht="16" x14ac:dyDescent="0.2">
      <c r="A12" s="43">
        <v>26085</v>
      </c>
      <c r="B12" s="48" t="s">
        <v>118</v>
      </c>
      <c r="C12" s="64">
        <v>95100.000000000015</v>
      </c>
      <c r="D12" s="64">
        <v>126800.00000000001</v>
      </c>
      <c r="E12" s="65">
        <v>89950</v>
      </c>
    </row>
    <row r="13" spans="1:5" ht="16" x14ac:dyDescent="0.2">
      <c r="A13" s="43">
        <v>26787</v>
      </c>
      <c r="B13" s="48" t="s">
        <v>116</v>
      </c>
      <c r="C13" s="64">
        <v>109800.00000000001</v>
      </c>
      <c r="D13" s="64">
        <v>146400</v>
      </c>
      <c r="E13" s="65">
        <v>99400</v>
      </c>
    </row>
    <row r="14" spans="1:5" ht="16" x14ac:dyDescent="0.2">
      <c r="A14" s="43">
        <v>26900</v>
      </c>
      <c r="B14" s="48" t="s">
        <v>117</v>
      </c>
      <c r="C14" s="64">
        <v>95100.000000000015</v>
      </c>
      <c r="D14" s="64">
        <v>126800.00000000001</v>
      </c>
      <c r="E14" s="65">
        <v>79800</v>
      </c>
    </row>
    <row r="15" spans="1:5" ht="16" x14ac:dyDescent="0.2">
      <c r="A15" s="43">
        <v>26930</v>
      </c>
      <c r="B15" s="48" t="s">
        <v>115</v>
      </c>
      <c r="C15" s="64">
        <v>67200</v>
      </c>
      <c r="D15" s="64">
        <v>89600.000000000015</v>
      </c>
      <c r="E15" s="65">
        <v>79800</v>
      </c>
    </row>
    <row r="16" spans="1:5" ht="16" x14ac:dyDescent="0.2">
      <c r="A16" s="43">
        <v>26941</v>
      </c>
      <c r="B16" s="48" t="s">
        <v>113</v>
      </c>
      <c r="C16" s="64">
        <v>92100.000000000015</v>
      </c>
      <c r="D16" s="64">
        <v>122800.00000000001</v>
      </c>
      <c r="E16" s="65">
        <v>89950</v>
      </c>
    </row>
    <row r="17" spans="1:5" ht="16" x14ac:dyDescent="0.2">
      <c r="A17" s="43">
        <v>26947</v>
      </c>
      <c r="B17" s="48" t="s">
        <v>112</v>
      </c>
      <c r="C17" s="64">
        <v>82800.000000000015</v>
      </c>
      <c r="D17" s="64">
        <v>110400</v>
      </c>
      <c r="E17" s="65">
        <v>89950</v>
      </c>
    </row>
    <row r="18" spans="1:5" ht="16" x14ac:dyDescent="0.2">
      <c r="A18" s="43">
        <v>26953</v>
      </c>
      <c r="B18" s="47" t="s">
        <v>109</v>
      </c>
      <c r="C18" s="64">
        <v>82800.000000000015</v>
      </c>
      <c r="D18" s="64">
        <v>110400</v>
      </c>
      <c r="E18" s="65">
        <v>99400</v>
      </c>
    </row>
    <row r="19" spans="1:5" ht="16" x14ac:dyDescent="0.2">
      <c r="A19" s="14">
        <v>41189</v>
      </c>
      <c r="B19" s="21" t="s">
        <v>63</v>
      </c>
      <c r="C19" s="64">
        <v>84600.000000000015</v>
      </c>
      <c r="D19" s="64">
        <v>112800.00000000001</v>
      </c>
      <c r="E19" s="65">
        <v>171500</v>
      </c>
    </row>
    <row r="20" spans="1:5" ht="16" x14ac:dyDescent="0.2">
      <c r="A20" s="14">
        <v>41200</v>
      </c>
      <c r="B20" s="21" t="s">
        <v>64</v>
      </c>
      <c r="C20" s="64">
        <v>100500</v>
      </c>
      <c r="D20" s="64">
        <v>134000</v>
      </c>
      <c r="E20" s="65">
        <v>179900</v>
      </c>
    </row>
    <row r="21" spans="1:5" ht="16" x14ac:dyDescent="0.2">
      <c r="A21" s="14">
        <v>41220</v>
      </c>
      <c r="B21" s="21" t="s">
        <v>65</v>
      </c>
      <c r="C21" s="64">
        <v>140700</v>
      </c>
      <c r="D21" s="64">
        <v>187599.99999999997</v>
      </c>
      <c r="E21" s="65">
        <v>227500</v>
      </c>
    </row>
    <row r="22" spans="1:5" ht="16" x14ac:dyDescent="0.2">
      <c r="A22" s="14">
        <v>42287</v>
      </c>
      <c r="B22" s="21" t="s">
        <v>66</v>
      </c>
      <c r="C22" s="64">
        <v>84600.000000000015</v>
      </c>
      <c r="D22" s="64">
        <v>112800.00000000001</v>
      </c>
      <c r="E22" s="65">
        <v>171500</v>
      </c>
    </row>
    <row r="23" spans="1:5" ht="16" x14ac:dyDescent="0.2">
      <c r="A23" s="14">
        <v>42300</v>
      </c>
      <c r="B23" s="22" t="s">
        <v>67</v>
      </c>
      <c r="C23" s="64">
        <v>100500</v>
      </c>
      <c r="D23" s="64">
        <v>134000</v>
      </c>
      <c r="E23" s="65">
        <v>179900</v>
      </c>
    </row>
    <row r="24" spans="1:5" ht="16" x14ac:dyDescent="0.2">
      <c r="A24" s="14">
        <v>42320</v>
      </c>
      <c r="B24" s="21" t="s">
        <v>68</v>
      </c>
      <c r="C24" s="64">
        <v>140700</v>
      </c>
      <c r="D24" s="64">
        <v>187599.99999999997</v>
      </c>
      <c r="E24" s="65">
        <v>227500</v>
      </c>
    </row>
    <row r="25" spans="1:5" ht="16" x14ac:dyDescent="0.2">
      <c r="A25" s="14">
        <v>42386</v>
      </c>
      <c r="B25" s="21" t="s">
        <v>69</v>
      </c>
      <c r="C25" s="64">
        <v>76199.999999999985</v>
      </c>
      <c r="D25" s="64">
        <v>101600</v>
      </c>
      <c r="E25" s="65">
        <v>105000</v>
      </c>
    </row>
    <row r="26" spans="1:5" ht="16" x14ac:dyDescent="0.2">
      <c r="A26" s="14">
        <v>42390</v>
      </c>
      <c r="B26" s="21" t="s">
        <v>70</v>
      </c>
      <c r="C26" s="64">
        <v>111600.00000000001</v>
      </c>
      <c r="D26" s="64">
        <v>148800</v>
      </c>
      <c r="E26" s="65">
        <v>171500</v>
      </c>
    </row>
    <row r="27" spans="1:5" ht="16" x14ac:dyDescent="0.2">
      <c r="A27" s="14">
        <v>42395</v>
      </c>
      <c r="B27" s="21" t="s">
        <v>71</v>
      </c>
      <c r="C27" s="64">
        <v>141899.99999999997</v>
      </c>
      <c r="D27" s="64">
        <v>189200</v>
      </c>
      <c r="E27" s="65">
        <v>179900</v>
      </c>
    </row>
    <row r="28" spans="1:5" ht="16" x14ac:dyDescent="0.2">
      <c r="A28" s="14">
        <v>42397</v>
      </c>
      <c r="B28" s="22" t="s">
        <v>72</v>
      </c>
      <c r="C28" s="64">
        <v>183000</v>
      </c>
      <c r="D28" s="64">
        <v>244000</v>
      </c>
      <c r="E28" s="65">
        <v>227500</v>
      </c>
    </row>
    <row r="29" spans="1:5" ht="16" x14ac:dyDescent="0.2">
      <c r="A29" s="14">
        <v>42490</v>
      </c>
      <c r="B29" s="21" t="s">
        <v>73</v>
      </c>
      <c r="C29" s="64">
        <v>72900</v>
      </c>
      <c r="D29" s="64">
        <v>97200</v>
      </c>
      <c r="E29" s="65">
        <v>105000</v>
      </c>
    </row>
    <row r="30" spans="1:5" ht="16" x14ac:dyDescent="0.2">
      <c r="A30" s="14">
        <v>42496</v>
      </c>
      <c r="B30" s="22" t="s">
        <v>74</v>
      </c>
      <c r="C30" s="64">
        <v>90000</v>
      </c>
      <c r="D30" s="64">
        <v>120000</v>
      </c>
      <c r="E30" s="65">
        <v>139900</v>
      </c>
    </row>
    <row r="31" spans="1:5" ht="16" x14ac:dyDescent="0.2">
      <c r="A31" s="14">
        <v>42498</v>
      </c>
      <c r="B31" s="21" t="s">
        <v>75</v>
      </c>
      <c r="C31" s="64">
        <v>102900</v>
      </c>
      <c r="D31" s="64">
        <v>137200.00000000003</v>
      </c>
      <c r="E31" s="65">
        <v>150500</v>
      </c>
    </row>
    <row r="32" spans="1:5" ht="16" x14ac:dyDescent="0.2">
      <c r="A32" s="14">
        <v>42500</v>
      </c>
      <c r="B32" s="21" t="s">
        <v>76</v>
      </c>
      <c r="C32" s="64">
        <v>124199.99999999999</v>
      </c>
      <c r="D32" s="64">
        <v>165600</v>
      </c>
      <c r="E32" s="65">
        <v>171500</v>
      </c>
    </row>
    <row r="33" spans="1:5" ht="16" x14ac:dyDescent="0.2">
      <c r="A33" s="14">
        <v>42520</v>
      </c>
      <c r="B33" s="21" t="s">
        <v>77</v>
      </c>
      <c r="C33" s="64">
        <v>135900</v>
      </c>
      <c r="D33" s="64">
        <v>181200.00000000003</v>
      </c>
      <c r="E33" s="65">
        <v>179900</v>
      </c>
    </row>
    <row r="34" spans="1:5" ht="16" x14ac:dyDescent="0.2">
      <c r="A34" s="14">
        <v>42540</v>
      </c>
      <c r="B34" s="21" t="s">
        <v>78</v>
      </c>
      <c r="C34" s="64">
        <v>152100</v>
      </c>
      <c r="D34" s="64">
        <v>202799.99999999997</v>
      </c>
      <c r="E34" s="65">
        <v>227500</v>
      </c>
    </row>
    <row r="35" spans="1:5" ht="16" x14ac:dyDescent="0.2">
      <c r="A35" s="14">
        <v>42598</v>
      </c>
      <c r="B35" s="21" t="s">
        <v>79</v>
      </c>
      <c r="C35" s="64">
        <v>130199.99999999999</v>
      </c>
      <c r="D35" s="64">
        <v>173600</v>
      </c>
      <c r="E35" s="65">
        <v>227500</v>
      </c>
    </row>
    <row r="36" spans="1:5" ht="16" x14ac:dyDescent="0.2">
      <c r="A36" s="14">
        <v>42600</v>
      </c>
      <c r="B36" s="22" t="s">
        <v>80</v>
      </c>
      <c r="C36" s="64">
        <v>146999.99999999997</v>
      </c>
      <c r="D36" s="64">
        <v>195999.99999999997</v>
      </c>
      <c r="E36" s="65">
        <v>248500</v>
      </c>
    </row>
    <row r="37" spans="1:5" ht="16" x14ac:dyDescent="0.2">
      <c r="A37" s="14">
        <v>42687</v>
      </c>
      <c r="B37" s="53" t="s">
        <v>154</v>
      </c>
      <c r="C37" s="64">
        <v>54300.000000000007</v>
      </c>
      <c r="D37" s="64">
        <v>72400</v>
      </c>
      <c r="E37" s="65">
        <v>99400</v>
      </c>
    </row>
    <row r="38" spans="1:5" ht="16" x14ac:dyDescent="0.2">
      <c r="A38" s="14">
        <v>42689</v>
      </c>
      <c r="B38" s="53" t="s">
        <v>155</v>
      </c>
      <c r="C38" s="64">
        <v>37200</v>
      </c>
      <c r="D38" s="64">
        <v>49600.000000000007</v>
      </c>
      <c r="E38" s="65">
        <v>99400</v>
      </c>
    </row>
    <row r="39" spans="1:5" ht="16" x14ac:dyDescent="0.2">
      <c r="A39" s="14">
        <v>42693</v>
      </c>
      <c r="B39" s="53" t="s">
        <v>156</v>
      </c>
      <c r="C39" s="64">
        <v>63000</v>
      </c>
      <c r="D39" s="64">
        <v>84000</v>
      </c>
      <c r="E39" s="65">
        <v>139900</v>
      </c>
    </row>
    <row r="40" spans="1:5" ht="16" x14ac:dyDescent="0.2">
      <c r="A40" s="6">
        <v>42694</v>
      </c>
      <c r="B40" s="53" t="s">
        <v>157</v>
      </c>
      <c r="C40" s="64">
        <v>39900.000000000007</v>
      </c>
      <c r="D40" s="64">
        <v>53200</v>
      </c>
      <c r="E40" s="65">
        <v>150500</v>
      </c>
    </row>
    <row r="41" spans="1:5" ht="16" x14ac:dyDescent="0.2">
      <c r="A41" s="14">
        <v>42695</v>
      </c>
      <c r="B41" s="53" t="s">
        <v>158</v>
      </c>
      <c r="C41" s="64">
        <v>76199.999999999985</v>
      </c>
      <c r="D41" s="64">
        <v>101600</v>
      </c>
      <c r="E41" s="65">
        <v>150500</v>
      </c>
    </row>
    <row r="42" spans="1:5" ht="16" x14ac:dyDescent="0.2">
      <c r="A42" s="6">
        <v>42697</v>
      </c>
      <c r="B42" s="53" t="s">
        <v>159</v>
      </c>
      <c r="C42" s="64">
        <v>46200</v>
      </c>
      <c r="D42" s="64">
        <v>61600</v>
      </c>
      <c r="E42" s="65">
        <v>150500</v>
      </c>
    </row>
    <row r="43" spans="1:5" ht="16" x14ac:dyDescent="0.2">
      <c r="A43" s="14">
        <v>42700</v>
      </c>
      <c r="B43" s="53" t="s">
        <v>160</v>
      </c>
      <c r="C43" s="64">
        <v>99600.000000000015</v>
      </c>
      <c r="D43" s="64">
        <v>132800</v>
      </c>
      <c r="E43" s="65">
        <v>179900</v>
      </c>
    </row>
    <row r="44" spans="1:5" ht="16" x14ac:dyDescent="0.2">
      <c r="A44" s="14">
        <v>42782</v>
      </c>
      <c r="B44" s="53" t="s">
        <v>161</v>
      </c>
      <c r="C44" s="64">
        <v>48899.999999999993</v>
      </c>
      <c r="D44" s="64">
        <v>65199.999999999985</v>
      </c>
      <c r="E44" s="65">
        <v>99400</v>
      </c>
    </row>
    <row r="45" spans="1:5" ht="16" x14ac:dyDescent="0.2">
      <c r="A45" s="6">
        <v>42786</v>
      </c>
      <c r="B45" s="53" t="s">
        <v>162</v>
      </c>
      <c r="C45" s="64">
        <v>46500</v>
      </c>
      <c r="D45" s="64">
        <v>62000</v>
      </c>
      <c r="E45" s="65">
        <v>105000</v>
      </c>
    </row>
    <row r="46" spans="1:5" ht="16" x14ac:dyDescent="0.2">
      <c r="A46" s="14">
        <v>42787</v>
      </c>
      <c r="B46" s="53" t="s">
        <v>163</v>
      </c>
      <c r="C46" s="64">
        <v>46500</v>
      </c>
      <c r="D46" s="64">
        <v>62000</v>
      </c>
      <c r="E46" s="65">
        <v>105000</v>
      </c>
    </row>
    <row r="47" spans="1:5" ht="16" x14ac:dyDescent="0.2">
      <c r="A47" s="14">
        <v>42788</v>
      </c>
      <c r="B47" s="53" t="s">
        <v>164</v>
      </c>
      <c r="C47" s="64">
        <v>63000</v>
      </c>
      <c r="D47" s="64">
        <v>84000</v>
      </c>
      <c r="E47" s="65">
        <v>139900</v>
      </c>
    </row>
    <row r="48" spans="1:5" ht="16" x14ac:dyDescent="0.2">
      <c r="A48" s="14">
        <v>42793</v>
      </c>
      <c r="B48" s="53" t="s">
        <v>165</v>
      </c>
      <c r="C48" s="64">
        <v>80400</v>
      </c>
      <c r="D48" s="64">
        <v>107200</v>
      </c>
      <c r="E48" s="65">
        <v>150500</v>
      </c>
    </row>
    <row r="49" spans="1:5" ht="16" x14ac:dyDescent="0.2">
      <c r="A49" s="6">
        <v>42795</v>
      </c>
      <c r="B49" s="53" t="s">
        <v>166</v>
      </c>
      <c r="C49" s="64">
        <v>48300.000000000007</v>
      </c>
      <c r="D49" s="64">
        <v>64400.000000000007</v>
      </c>
      <c r="E49" s="65">
        <v>150500</v>
      </c>
    </row>
    <row r="50" spans="1:5" ht="16" x14ac:dyDescent="0.2">
      <c r="A50" s="14">
        <v>42800</v>
      </c>
      <c r="B50" s="53" t="s">
        <v>167</v>
      </c>
      <c r="C50" s="64">
        <v>110400</v>
      </c>
      <c r="D50" s="64">
        <v>147200.00000000003</v>
      </c>
      <c r="E50" s="65">
        <v>179900</v>
      </c>
    </row>
    <row r="51" spans="1:5" ht="16" x14ac:dyDescent="0.2">
      <c r="A51" s="14">
        <v>42830</v>
      </c>
      <c r="B51" s="53" t="s">
        <v>168</v>
      </c>
      <c r="C51" s="64">
        <v>155399.99999999997</v>
      </c>
      <c r="D51" s="64">
        <v>207200</v>
      </c>
      <c r="E51" s="65">
        <v>227500</v>
      </c>
    </row>
    <row r="52" spans="1:5" ht="16" x14ac:dyDescent="0.2">
      <c r="A52" s="14">
        <v>42982</v>
      </c>
      <c r="B52" s="51" t="s">
        <v>169</v>
      </c>
      <c r="C52" s="64">
        <v>107100.00000000001</v>
      </c>
      <c r="D52" s="64">
        <v>142800</v>
      </c>
      <c r="E52" s="67">
        <v>139900</v>
      </c>
    </row>
    <row r="53" spans="1:5" ht="16" x14ac:dyDescent="0.2">
      <c r="A53" s="14">
        <v>42900</v>
      </c>
      <c r="B53" s="51" t="s">
        <v>170</v>
      </c>
      <c r="C53" s="64">
        <v>135154.28571428565</v>
      </c>
      <c r="D53" s="64">
        <v>180205.71428571423</v>
      </c>
      <c r="E53" s="65">
        <v>179900</v>
      </c>
    </row>
    <row r="54" spans="1:5" ht="16" x14ac:dyDescent="0.2">
      <c r="A54" s="14">
        <v>42925</v>
      </c>
      <c r="B54" s="51" t="s">
        <v>171</v>
      </c>
      <c r="C54" s="64">
        <v>143657.14285714296</v>
      </c>
      <c r="D54" s="64">
        <v>191542.85714285725</v>
      </c>
      <c r="E54" s="65">
        <v>189000</v>
      </c>
    </row>
    <row r="55" spans="1:5" ht="16" x14ac:dyDescent="0.2">
      <c r="A55" s="14">
        <v>42932</v>
      </c>
      <c r="B55" s="51" t="s">
        <v>172</v>
      </c>
      <c r="C55" s="64">
        <v>150445.71428571429</v>
      </c>
      <c r="D55" s="64">
        <v>200594.28571428574</v>
      </c>
    </row>
    <row r="56" spans="1:5" ht="16" x14ac:dyDescent="0.2">
      <c r="A56" s="6">
        <v>42986</v>
      </c>
      <c r="B56" s="53" t="s">
        <v>184</v>
      </c>
      <c r="C56" s="64">
        <v>48300.000000000007</v>
      </c>
      <c r="D56" s="64">
        <v>64400.000000000007</v>
      </c>
      <c r="E56" s="65">
        <v>139900</v>
      </c>
    </row>
    <row r="57" spans="1:5" ht="16" x14ac:dyDescent="0.2">
      <c r="A57" s="14">
        <v>43100</v>
      </c>
      <c r="B57" s="51" t="s">
        <v>185</v>
      </c>
      <c r="C57" s="64">
        <v>82542.857142857087</v>
      </c>
      <c r="D57" s="64">
        <v>110057.1428571428</v>
      </c>
      <c r="E57" s="65">
        <v>139900</v>
      </c>
    </row>
    <row r="58" spans="1:5" ht="16" x14ac:dyDescent="0.2">
      <c r="A58" s="14">
        <v>43109</v>
      </c>
      <c r="B58" s="51" t="s">
        <v>186</v>
      </c>
      <c r="C58" s="64">
        <v>106114.28571428581</v>
      </c>
      <c r="D58" s="64">
        <v>141485.71428571441</v>
      </c>
      <c r="E58" s="65">
        <v>171500</v>
      </c>
    </row>
    <row r="59" spans="1:5" ht="16" x14ac:dyDescent="0.2">
      <c r="A59" s="14">
        <v>43113</v>
      </c>
      <c r="B59" s="51" t="s">
        <v>187</v>
      </c>
      <c r="C59" s="64">
        <v>54685.714285714195</v>
      </c>
      <c r="D59" s="64">
        <v>72914.285714285594</v>
      </c>
      <c r="E59" s="65">
        <v>99400</v>
      </c>
    </row>
    <row r="60" spans="1:5" ht="16" x14ac:dyDescent="0.2">
      <c r="A60" s="14">
        <v>43115</v>
      </c>
      <c r="B60" s="51" t="s">
        <v>188</v>
      </c>
      <c r="C60" s="64">
        <v>64542.857142857087</v>
      </c>
      <c r="D60" s="64">
        <v>86057.142857142797</v>
      </c>
      <c r="E60" s="65">
        <v>105000</v>
      </c>
    </row>
    <row r="61" spans="1:5" ht="16" x14ac:dyDescent="0.2">
      <c r="A61" s="14">
        <v>43187</v>
      </c>
      <c r="B61" s="51" t="s">
        <v>189</v>
      </c>
      <c r="C61" s="64">
        <v>60779.999999999905</v>
      </c>
      <c r="D61" s="64">
        <v>81039.999999999884</v>
      </c>
      <c r="E61" s="65">
        <v>105000</v>
      </c>
    </row>
    <row r="62" spans="1:5" ht="16" x14ac:dyDescent="0.2">
      <c r="A62" s="6">
        <v>43189</v>
      </c>
      <c r="B62" s="53" t="s">
        <v>190</v>
      </c>
      <c r="C62" s="64">
        <v>45780</v>
      </c>
      <c r="D62" s="64">
        <v>61040.000000000007</v>
      </c>
      <c r="E62" s="65">
        <v>105000</v>
      </c>
    </row>
    <row r="63" spans="1:5" ht="16" x14ac:dyDescent="0.2">
      <c r="A63" s="14">
        <v>43192</v>
      </c>
      <c r="B63" s="53" t="s">
        <v>191</v>
      </c>
      <c r="C63" s="64">
        <v>82320.000000000015</v>
      </c>
      <c r="D63" s="64">
        <v>109760</v>
      </c>
      <c r="E63" s="65">
        <v>139900</v>
      </c>
    </row>
    <row r="64" spans="1:5" ht="16" x14ac:dyDescent="0.2">
      <c r="A64" s="14">
        <v>43195</v>
      </c>
      <c r="B64" s="51" t="s">
        <v>192</v>
      </c>
      <c r="C64" s="64">
        <v>91140</v>
      </c>
      <c r="D64" s="64">
        <v>121520</v>
      </c>
      <c r="E64" s="65">
        <v>150500</v>
      </c>
    </row>
    <row r="65" spans="1:5" ht="16" x14ac:dyDescent="0.2">
      <c r="A65" s="6">
        <v>43198</v>
      </c>
      <c r="B65" s="53" t="s">
        <v>193</v>
      </c>
      <c r="C65" s="64">
        <v>54810</v>
      </c>
      <c r="D65" s="64">
        <v>73080</v>
      </c>
      <c r="E65" s="65">
        <v>150500</v>
      </c>
    </row>
    <row r="66" spans="1:5" ht="16" x14ac:dyDescent="0.2">
      <c r="A66" s="14">
        <v>43200</v>
      </c>
      <c r="B66" s="51" t="s">
        <v>194</v>
      </c>
      <c r="C66" s="64">
        <v>100590</v>
      </c>
      <c r="D66" s="64">
        <v>134120</v>
      </c>
      <c r="E66" s="65">
        <v>179900</v>
      </c>
    </row>
    <row r="67" spans="1:5" ht="16" x14ac:dyDescent="0.2">
      <c r="A67" s="14">
        <v>43372</v>
      </c>
      <c r="B67" s="53" t="s">
        <v>203</v>
      </c>
      <c r="C67" s="64">
        <v>70199.999999999985</v>
      </c>
      <c r="D67" s="64">
        <v>93600</v>
      </c>
      <c r="E67" s="65">
        <v>105000</v>
      </c>
    </row>
    <row r="68" spans="1:5" ht="16" x14ac:dyDescent="0.2">
      <c r="A68" s="14">
        <v>43390</v>
      </c>
      <c r="B68" s="53" t="s">
        <v>204</v>
      </c>
      <c r="C68" s="64">
        <v>120600</v>
      </c>
      <c r="D68" s="64">
        <v>160799.99999999997</v>
      </c>
    </row>
    <row r="69" spans="1:5" ht="16" x14ac:dyDescent="0.2">
      <c r="A69" s="14">
        <v>43400</v>
      </c>
      <c r="B69" s="53" t="s">
        <v>205</v>
      </c>
      <c r="C69" s="64">
        <v>153600.00000000003</v>
      </c>
      <c r="D69" s="64">
        <v>204800</v>
      </c>
      <c r="E69" s="65">
        <v>179900</v>
      </c>
    </row>
    <row r="70" spans="1:5" ht="16" x14ac:dyDescent="0.2">
      <c r="A70" s="14">
        <v>43488</v>
      </c>
      <c r="B70" s="53" t="s">
        <v>206</v>
      </c>
      <c r="C70" s="64">
        <v>64800.000000000015</v>
      </c>
      <c r="D70" s="64">
        <v>86400</v>
      </c>
      <c r="E70" s="65">
        <v>120400</v>
      </c>
    </row>
    <row r="71" spans="1:5" ht="16" x14ac:dyDescent="0.2">
      <c r="A71" s="14">
        <v>43500</v>
      </c>
      <c r="B71" s="53" t="s">
        <v>207</v>
      </c>
      <c r="C71" s="64">
        <v>87300.000000000015</v>
      </c>
      <c r="D71" s="64">
        <v>116400</v>
      </c>
      <c r="E71" s="65">
        <v>179900</v>
      </c>
    </row>
    <row r="72" spans="1:5" ht="16" x14ac:dyDescent="0.2">
      <c r="A72" s="14">
        <v>43540</v>
      </c>
      <c r="B72" s="53" t="s">
        <v>208</v>
      </c>
      <c r="C72" s="64">
        <v>114300.00000000001</v>
      </c>
      <c r="D72" s="64">
        <v>152400</v>
      </c>
      <c r="E72" s="65">
        <v>227500</v>
      </c>
    </row>
    <row r="73" spans="1:5" ht="16" x14ac:dyDescent="0.2">
      <c r="A73" s="14">
        <v>43585</v>
      </c>
      <c r="B73" s="53" t="s">
        <v>221</v>
      </c>
      <c r="C73" s="64">
        <v>67200</v>
      </c>
      <c r="D73" s="64">
        <v>89600.000000000015</v>
      </c>
      <c r="E73" s="65">
        <v>120400</v>
      </c>
    </row>
    <row r="74" spans="1:5" ht="16" x14ac:dyDescent="0.2">
      <c r="A74" s="14">
        <v>43588</v>
      </c>
      <c r="B74" s="53" t="s">
        <v>222</v>
      </c>
      <c r="C74" s="64">
        <v>87600.000000000015</v>
      </c>
      <c r="D74" s="64">
        <v>116800.00000000001</v>
      </c>
      <c r="E74" s="65">
        <v>120400</v>
      </c>
    </row>
    <row r="75" spans="1:5" ht="16" x14ac:dyDescent="0.2">
      <c r="A75" s="14">
        <v>43596</v>
      </c>
      <c r="B75" s="53" t="s">
        <v>223</v>
      </c>
      <c r="C75" s="64">
        <v>119399.99999999999</v>
      </c>
      <c r="D75" s="64">
        <v>159200</v>
      </c>
      <c r="E75" s="65">
        <v>179900</v>
      </c>
    </row>
    <row r="76" spans="1:5" ht="16" x14ac:dyDescent="0.2">
      <c r="A76" s="14">
        <v>43616</v>
      </c>
      <c r="B76" s="51" t="s">
        <v>219</v>
      </c>
      <c r="C76" s="64">
        <v>60257.142857142906</v>
      </c>
      <c r="D76" s="64">
        <v>80342.857142857218</v>
      </c>
      <c r="E76" s="65">
        <v>120400</v>
      </c>
    </row>
    <row r="77" spans="1:5" ht="16" x14ac:dyDescent="0.2">
      <c r="A77" s="14">
        <v>43620</v>
      </c>
      <c r="B77" s="51" t="s">
        <v>220</v>
      </c>
      <c r="C77" s="64">
        <v>77657.142857142899</v>
      </c>
      <c r="D77" s="64">
        <v>103542.8571428572</v>
      </c>
      <c r="E77" s="65">
        <v>139900</v>
      </c>
    </row>
    <row r="78" spans="1:5" ht="16" x14ac:dyDescent="0.2">
      <c r="A78" s="14">
        <v>43702</v>
      </c>
      <c r="B78" s="51" t="s">
        <v>217</v>
      </c>
      <c r="C78" s="64">
        <v>60042.857142857094</v>
      </c>
      <c r="D78" s="64">
        <v>80057.142857142797</v>
      </c>
      <c r="E78" s="65">
        <v>120400</v>
      </c>
    </row>
    <row r="79" spans="1:5" ht="16" x14ac:dyDescent="0.2">
      <c r="A79" s="14">
        <v>43727</v>
      </c>
      <c r="B79" s="51" t="s">
        <v>218</v>
      </c>
      <c r="C79" s="64">
        <v>85585.714285714203</v>
      </c>
      <c r="D79" s="64">
        <v>114114.28571428559</v>
      </c>
      <c r="E79" s="65">
        <v>150500</v>
      </c>
    </row>
    <row r="80" spans="1:5" ht="16" x14ac:dyDescent="0.2">
      <c r="A80" s="14">
        <v>43858</v>
      </c>
      <c r="B80" s="51" t="s">
        <v>142</v>
      </c>
      <c r="C80" s="64">
        <v>42480.000000000007</v>
      </c>
      <c r="D80" s="64">
        <v>56640</v>
      </c>
      <c r="E80" s="65">
        <v>99400</v>
      </c>
    </row>
    <row r="81" spans="1:5" ht="16" x14ac:dyDescent="0.2">
      <c r="A81" s="14">
        <v>43862</v>
      </c>
      <c r="B81" s="51" t="s">
        <v>143</v>
      </c>
      <c r="C81" s="64">
        <v>58560</v>
      </c>
      <c r="D81" s="64">
        <v>78080</v>
      </c>
      <c r="E81" s="65">
        <v>150500</v>
      </c>
    </row>
    <row r="82" spans="1:5" ht="16" x14ac:dyDescent="0.2">
      <c r="A82" s="14">
        <v>43900</v>
      </c>
      <c r="B82" s="51" t="s">
        <v>141</v>
      </c>
      <c r="C82" s="64">
        <v>151920.00000000003</v>
      </c>
      <c r="D82" s="64">
        <v>202560</v>
      </c>
      <c r="E82" s="65">
        <v>227500</v>
      </c>
    </row>
    <row r="83" spans="1:5" ht="16" x14ac:dyDescent="0.2">
      <c r="A83" s="14">
        <v>44020</v>
      </c>
      <c r="B83" s="51" t="s">
        <v>225</v>
      </c>
      <c r="C83" s="64">
        <v>51291.428571428638</v>
      </c>
      <c r="D83" s="64">
        <v>68388.571428571522</v>
      </c>
      <c r="E83" s="65">
        <v>117600</v>
      </c>
    </row>
    <row r="84" spans="1:5" ht="16" x14ac:dyDescent="0.2">
      <c r="A84" s="14">
        <v>44060</v>
      </c>
      <c r="B84" s="51" t="s">
        <v>226</v>
      </c>
      <c r="C84" s="64">
        <v>62537.142857142957</v>
      </c>
      <c r="D84" s="64">
        <v>83382.857142857276</v>
      </c>
      <c r="E84" s="65">
        <v>150500</v>
      </c>
    </row>
    <row r="85" spans="1:5" ht="16" x14ac:dyDescent="0.2">
      <c r="A85" s="14">
        <v>44539</v>
      </c>
      <c r="B85" s="51" t="s">
        <v>227</v>
      </c>
      <c r="C85" s="64">
        <v>33840</v>
      </c>
      <c r="D85" s="64">
        <v>45120.000000000007</v>
      </c>
      <c r="E85" s="65">
        <v>99400</v>
      </c>
    </row>
    <row r="86" spans="1:5" ht="16" x14ac:dyDescent="0.2">
      <c r="A86" s="14">
        <v>44541</v>
      </c>
      <c r="B86" s="51" t="s">
        <v>228</v>
      </c>
      <c r="C86" s="64">
        <v>35519.999999999993</v>
      </c>
      <c r="D86" s="64">
        <v>47360</v>
      </c>
      <c r="E86" s="65">
        <v>105000</v>
      </c>
    </row>
    <row r="87" spans="1:5" ht="16" x14ac:dyDescent="0.2">
      <c r="A87" s="14">
        <v>44543</v>
      </c>
      <c r="B87" s="51" t="s">
        <v>229</v>
      </c>
      <c r="C87" s="64">
        <v>43679.999999999993</v>
      </c>
      <c r="D87" s="64">
        <v>58239.999999999993</v>
      </c>
      <c r="E87" s="65">
        <v>125900</v>
      </c>
    </row>
    <row r="88" spans="1:5" ht="16" x14ac:dyDescent="0.2">
      <c r="A88" s="14">
        <v>44697</v>
      </c>
      <c r="B88" s="51" t="s">
        <v>144</v>
      </c>
      <c r="C88" s="64">
        <v>47760.000000000007</v>
      </c>
      <c r="D88" s="64">
        <v>63680.000000000007</v>
      </c>
      <c r="E88" s="65">
        <v>99400</v>
      </c>
    </row>
    <row r="89" spans="1:5" ht="16" x14ac:dyDescent="0.2">
      <c r="A89" s="14">
        <v>44701</v>
      </c>
      <c r="B89" s="51" t="s">
        <v>152</v>
      </c>
      <c r="C89" s="64">
        <v>69360</v>
      </c>
      <c r="D89" s="64">
        <v>92480</v>
      </c>
      <c r="E89" s="65">
        <v>139900</v>
      </c>
    </row>
    <row r="90" spans="1:5" ht="16" x14ac:dyDescent="0.2">
      <c r="A90" s="14">
        <v>44881</v>
      </c>
      <c r="B90" s="68" t="s">
        <v>244</v>
      </c>
      <c r="C90" s="64">
        <v>83039.999999999985</v>
      </c>
      <c r="D90" s="64">
        <v>110720</v>
      </c>
      <c r="E90" s="65">
        <v>139900</v>
      </c>
    </row>
    <row r="91" spans="1:5" ht="16" x14ac:dyDescent="0.2">
      <c r="A91" s="14">
        <v>44883</v>
      </c>
      <c r="B91" s="57" t="s">
        <v>235</v>
      </c>
      <c r="C91" s="64">
        <v>112799.99999999999</v>
      </c>
      <c r="D91" s="64">
        <v>150399.99999999997</v>
      </c>
      <c r="E91" s="65">
        <v>175000</v>
      </c>
    </row>
    <row r="92" spans="1:5" ht="16" x14ac:dyDescent="0.2">
      <c r="A92" s="14">
        <v>44888</v>
      </c>
      <c r="B92" s="21" t="s">
        <v>82</v>
      </c>
      <c r="C92" s="64">
        <v>138960</v>
      </c>
      <c r="D92" s="64">
        <v>185280</v>
      </c>
      <c r="E92" s="65">
        <v>195300</v>
      </c>
    </row>
    <row r="93" spans="1:5" ht="16" x14ac:dyDescent="0.2">
      <c r="A93" s="14">
        <v>44890</v>
      </c>
      <c r="B93" s="21" t="s">
        <v>83</v>
      </c>
      <c r="C93" s="64">
        <v>151440</v>
      </c>
      <c r="D93" s="64">
        <v>201920</v>
      </c>
      <c r="E93" s="65">
        <v>259700</v>
      </c>
    </row>
    <row r="94" spans="1:5" ht="16" x14ac:dyDescent="0.2">
      <c r="A94" s="14">
        <v>51189</v>
      </c>
      <c r="B94" s="21" t="s">
        <v>84</v>
      </c>
      <c r="C94" s="64">
        <v>55800</v>
      </c>
      <c r="D94" s="64">
        <v>74399.999999999985</v>
      </c>
      <c r="E94" s="65">
        <v>99400</v>
      </c>
    </row>
    <row r="95" spans="1:5" ht="16" x14ac:dyDescent="0.2">
      <c r="A95" s="14">
        <v>51200</v>
      </c>
      <c r="B95" s="21" t="s">
        <v>85</v>
      </c>
      <c r="C95" s="64">
        <v>60599.999999999993</v>
      </c>
      <c r="D95" s="64">
        <v>80800</v>
      </c>
      <c r="E95" s="65">
        <v>105000</v>
      </c>
    </row>
    <row r="96" spans="1:5" ht="16" x14ac:dyDescent="0.2">
      <c r="A96" s="14">
        <v>51220</v>
      </c>
      <c r="B96" s="21" t="s">
        <v>86</v>
      </c>
      <c r="C96" s="64">
        <v>71700</v>
      </c>
      <c r="D96" s="64">
        <v>95600.000000000015</v>
      </c>
      <c r="E96" s="65">
        <v>114800</v>
      </c>
    </row>
    <row r="97" spans="1:5" ht="16" x14ac:dyDescent="0.2">
      <c r="A97" s="14">
        <v>52287</v>
      </c>
      <c r="B97" s="21" t="s">
        <v>87</v>
      </c>
      <c r="C97" s="64">
        <v>55800</v>
      </c>
      <c r="D97" s="64">
        <v>74399.999999999985</v>
      </c>
      <c r="E97" s="65">
        <v>99400</v>
      </c>
    </row>
    <row r="98" spans="1:5" ht="16" x14ac:dyDescent="0.2">
      <c r="A98" s="14">
        <v>52300</v>
      </c>
      <c r="B98" s="21" t="s">
        <v>88</v>
      </c>
      <c r="C98" s="64">
        <v>60599.999999999993</v>
      </c>
      <c r="D98" s="64">
        <v>80800</v>
      </c>
      <c r="E98" s="65">
        <v>105000</v>
      </c>
    </row>
    <row r="99" spans="1:5" ht="16" x14ac:dyDescent="0.2">
      <c r="A99" s="14">
        <v>52320</v>
      </c>
      <c r="B99" s="21" t="s">
        <v>89</v>
      </c>
      <c r="C99" s="64">
        <v>71700</v>
      </c>
      <c r="D99" s="64">
        <v>95600.000000000015</v>
      </c>
      <c r="E99" s="65">
        <v>114800</v>
      </c>
    </row>
    <row r="100" spans="1:5" ht="16" x14ac:dyDescent="0.2">
      <c r="A100" s="14">
        <v>52387</v>
      </c>
      <c r="B100" s="58" t="s">
        <v>236</v>
      </c>
      <c r="C100" s="64">
        <v>66300.000000000015</v>
      </c>
      <c r="D100" s="64">
        <v>88400</v>
      </c>
      <c r="E100" s="65">
        <v>89950</v>
      </c>
    </row>
    <row r="101" spans="1:5" ht="16" x14ac:dyDescent="0.2">
      <c r="A101" s="14">
        <v>52390</v>
      </c>
      <c r="B101" s="21" t="s">
        <v>90</v>
      </c>
      <c r="C101" s="64">
        <v>64200</v>
      </c>
      <c r="D101" s="64">
        <v>85600.000000000015</v>
      </c>
      <c r="E101" s="65">
        <v>99400</v>
      </c>
    </row>
    <row r="102" spans="1:5" ht="16" x14ac:dyDescent="0.2">
      <c r="A102" s="14">
        <v>52395</v>
      </c>
      <c r="B102" s="21" t="s">
        <v>91</v>
      </c>
      <c r="C102" s="64">
        <v>73800.000000000015</v>
      </c>
      <c r="D102" s="64">
        <v>98400</v>
      </c>
      <c r="E102" s="65">
        <v>105000</v>
      </c>
    </row>
    <row r="103" spans="1:5" ht="16" x14ac:dyDescent="0.2">
      <c r="A103" s="14">
        <v>52397</v>
      </c>
      <c r="B103" s="21" t="s">
        <v>92</v>
      </c>
      <c r="C103" s="64">
        <v>92700</v>
      </c>
      <c r="D103" s="64">
        <v>123600.00000000001</v>
      </c>
      <c r="E103" s="65">
        <v>114800</v>
      </c>
    </row>
    <row r="104" spans="1:5" ht="16" x14ac:dyDescent="0.2">
      <c r="A104" s="14">
        <v>52490</v>
      </c>
      <c r="B104" s="58" t="s">
        <v>239</v>
      </c>
      <c r="C104" s="64">
        <v>59700</v>
      </c>
      <c r="D104" s="64">
        <v>79600.000000000015</v>
      </c>
      <c r="E104" s="65">
        <v>89950</v>
      </c>
    </row>
    <row r="105" spans="1:5" ht="16" x14ac:dyDescent="0.2">
      <c r="A105" s="14">
        <v>52498</v>
      </c>
      <c r="B105" s="21" t="s">
        <v>93</v>
      </c>
      <c r="C105" s="64">
        <v>59400.000000000007</v>
      </c>
      <c r="D105" s="64">
        <v>79200</v>
      </c>
      <c r="E105" s="65">
        <v>99400</v>
      </c>
    </row>
    <row r="106" spans="1:5" ht="16" x14ac:dyDescent="0.2">
      <c r="A106" s="14">
        <v>52500</v>
      </c>
      <c r="B106" s="21" t="s">
        <v>94</v>
      </c>
      <c r="C106" s="64">
        <v>66900</v>
      </c>
      <c r="D106" s="64">
        <v>89200</v>
      </c>
      <c r="E106" s="65">
        <v>105000</v>
      </c>
    </row>
    <row r="107" spans="1:5" ht="16" x14ac:dyDescent="0.2">
      <c r="A107" s="14">
        <v>52540</v>
      </c>
      <c r="B107" s="21" t="s">
        <v>95</v>
      </c>
      <c r="C107" s="64">
        <v>84900</v>
      </c>
      <c r="D107" s="64">
        <v>113200</v>
      </c>
      <c r="E107" s="65">
        <v>114800</v>
      </c>
    </row>
    <row r="108" spans="1:5" ht="16" x14ac:dyDescent="0.2">
      <c r="A108" s="14">
        <v>52598</v>
      </c>
      <c r="B108" s="21" t="s">
        <v>96</v>
      </c>
      <c r="C108" s="64">
        <v>63899.999999999993</v>
      </c>
      <c r="D108" s="64">
        <v>85199.999999999985</v>
      </c>
      <c r="E108" s="65">
        <v>117600</v>
      </c>
    </row>
    <row r="109" spans="1:5" ht="16" x14ac:dyDescent="0.2">
      <c r="A109" s="14">
        <v>52600</v>
      </c>
      <c r="B109" s="21" t="s">
        <v>97</v>
      </c>
      <c r="C109" s="64">
        <v>70500</v>
      </c>
      <c r="D109" s="64">
        <v>94000</v>
      </c>
      <c r="E109" s="65">
        <v>139900</v>
      </c>
    </row>
    <row r="110" spans="1:5" ht="16" x14ac:dyDescent="0.2">
      <c r="A110" s="14">
        <v>52687</v>
      </c>
      <c r="B110" s="42" t="s">
        <v>104</v>
      </c>
      <c r="C110" s="64">
        <v>42300.000000000007</v>
      </c>
      <c r="D110" s="64">
        <v>56400.000000000007</v>
      </c>
      <c r="E110" s="65">
        <v>79800</v>
      </c>
    </row>
    <row r="111" spans="1:5" ht="16" x14ac:dyDescent="0.2">
      <c r="A111" s="14">
        <v>52693</v>
      </c>
      <c r="B111" s="41" t="s">
        <v>103</v>
      </c>
      <c r="C111" s="64">
        <v>45300</v>
      </c>
      <c r="D111" s="64">
        <v>60400</v>
      </c>
      <c r="E111" s="65">
        <v>89950</v>
      </c>
    </row>
    <row r="112" spans="1:5" ht="16" x14ac:dyDescent="0.2">
      <c r="A112" s="3">
        <v>52694</v>
      </c>
      <c r="B112" s="53" t="s">
        <v>224</v>
      </c>
      <c r="C112" s="64">
        <v>34500</v>
      </c>
      <c r="D112" s="64">
        <v>46000</v>
      </c>
      <c r="E112" s="65">
        <v>89950</v>
      </c>
    </row>
    <row r="113" spans="1:5" ht="16" x14ac:dyDescent="0.2">
      <c r="A113" s="14">
        <v>52695</v>
      </c>
      <c r="B113" s="42" t="s">
        <v>105</v>
      </c>
      <c r="C113" s="64">
        <v>48300.000000000007</v>
      </c>
      <c r="D113" s="64">
        <v>64400.000000000007</v>
      </c>
      <c r="E113" s="65">
        <v>99400</v>
      </c>
    </row>
    <row r="114" spans="1:5" ht="16" x14ac:dyDescent="0.2">
      <c r="A114" s="3">
        <v>52697</v>
      </c>
      <c r="B114" s="42" t="s">
        <v>106</v>
      </c>
      <c r="C114" s="64">
        <v>37200</v>
      </c>
      <c r="D114" s="64">
        <v>49600.000000000007</v>
      </c>
      <c r="E114" s="65">
        <v>99400</v>
      </c>
    </row>
    <row r="115" spans="1:5" ht="16" x14ac:dyDescent="0.2">
      <c r="A115" s="14">
        <v>52700</v>
      </c>
      <c r="B115" s="42" t="s">
        <v>107</v>
      </c>
      <c r="C115" s="64">
        <v>55199.999999999993</v>
      </c>
      <c r="D115" s="64">
        <v>73600</v>
      </c>
      <c r="E115" s="65">
        <v>105000</v>
      </c>
    </row>
    <row r="116" spans="1:5" ht="16" x14ac:dyDescent="0.2">
      <c r="A116" s="14">
        <v>52782</v>
      </c>
      <c r="B116" s="51" t="s">
        <v>175</v>
      </c>
      <c r="C116" s="64">
        <v>44100.000000000007</v>
      </c>
      <c r="D116" s="64">
        <v>58800.000000000015</v>
      </c>
      <c r="E116" s="65">
        <v>79800</v>
      </c>
    </row>
    <row r="117" spans="1:5" ht="16" x14ac:dyDescent="0.2">
      <c r="A117" s="14">
        <v>52793</v>
      </c>
      <c r="B117" s="51" t="s">
        <v>176</v>
      </c>
      <c r="C117" s="64">
        <v>56700</v>
      </c>
      <c r="D117" s="64">
        <v>75600.000000000015</v>
      </c>
      <c r="E117" s="65">
        <v>99400</v>
      </c>
    </row>
    <row r="118" spans="1:5" ht="16" x14ac:dyDescent="0.2">
      <c r="A118" s="6">
        <v>52795</v>
      </c>
      <c r="B118" s="53" t="s">
        <v>177</v>
      </c>
      <c r="C118" s="64">
        <v>33900.000000000007</v>
      </c>
      <c r="D118" s="64">
        <v>45200</v>
      </c>
      <c r="E118" s="65">
        <v>99400</v>
      </c>
    </row>
    <row r="119" spans="1:5" ht="16" x14ac:dyDescent="0.2">
      <c r="A119" s="14">
        <v>52800</v>
      </c>
      <c r="B119" s="53" t="s">
        <v>178</v>
      </c>
      <c r="C119" s="64">
        <v>72000</v>
      </c>
      <c r="D119" s="64">
        <v>96000</v>
      </c>
      <c r="E119" s="65">
        <v>105000</v>
      </c>
    </row>
    <row r="120" spans="1:5" ht="16" x14ac:dyDescent="0.2">
      <c r="A120" s="14">
        <v>52830</v>
      </c>
      <c r="B120" s="53" t="s">
        <v>179</v>
      </c>
      <c r="C120" s="64">
        <v>78300</v>
      </c>
      <c r="D120" s="64">
        <v>104399.99999999999</v>
      </c>
      <c r="E120" s="65">
        <v>114800</v>
      </c>
    </row>
    <row r="121" spans="1:5" ht="16" x14ac:dyDescent="0.2">
      <c r="A121" s="14">
        <v>52892</v>
      </c>
      <c r="B121" s="57" t="s">
        <v>240</v>
      </c>
      <c r="C121" s="64">
        <v>69600</v>
      </c>
      <c r="D121" s="64">
        <v>92800</v>
      </c>
      <c r="E121" s="65">
        <v>89950</v>
      </c>
    </row>
    <row r="122" spans="1:5" ht="16" x14ac:dyDescent="0.2">
      <c r="A122" s="14">
        <v>52900</v>
      </c>
      <c r="B122" s="51" t="s">
        <v>173</v>
      </c>
      <c r="C122" s="64">
        <v>75342.857142857116</v>
      </c>
      <c r="D122" s="64">
        <v>100457.14285714281</v>
      </c>
      <c r="E122" s="65">
        <v>105000</v>
      </c>
    </row>
    <row r="123" spans="1:5" ht="16" x14ac:dyDescent="0.2">
      <c r="A123" s="14">
        <v>52925</v>
      </c>
      <c r="B123" s="51" t="s">
        <v>174</v>
      </c>
      <c r="C123" s="64">
        <v>80828.571428571304</v>
      </c>
      <c r="D123" s="64">
        <v>107771.42857142841</v>
      </c>
      <c r="E123" s="65">
        <v>114800</v>
      </c>
    </row>
    <row r="124" spans="1:5" ht="16" x14ac:dyDescent="0.2">
      <c r="A124" s="6">
        <v>52986</v>
      </c>
      <c r="B124" s="51" t="s">
        <v>180</v>
      </c>
      <c r="C124" s="64">
        <v>33900.000000000007</v>
      </c>
      <c r="D124" s="64">
        <v>45200</v>
      </c>
    </row>
    <row r="125" spans="1:5" ht="16" x14ac:dyDescent="0.2">
      <c r="A125" s="14">
        <v>53100</v>
      </c>
      <c r="B125" s="51" t="s">
        <v>181</v>
      </c>
      <c r="C125" s="64">
        <v>46971.42857142858</v>
      </c>
      <c r="D125" s="64">
        <v>62628.571428571442</v>
      </c>
      <c r="E125" s="65">
        <v>89950</v>
      </c>
    </row>
    <row r="126" spans="1:5" ht="16" x14ac:dyDescent="0.2">
      <c r="A126" s="14">
        <v>53115</v>
      </c>
      <c r="B126" s="51" t="s">
        <v>182</v>
      </c>
      <c r="C126" s="64">
        <v>46542.857142857138</v>
      </c>
      <c r="D126" s="64">
        <v>62057.142857142848</v>
      </c>
      <c r="E126" s="65">
        <v>79800</v>
      </c>
    </row>
    <row r="127" spans="1:5" ht="16" x14ac:dyDescent="0.2">
      <c r="A127" s="14">
        <v>53117</v>
      </c>
      <c r="B127" s="51" t="s">
        <v>183</v>
      </c>
      <c r="C127" s="64">
        <v>44400.000000000007</v>
      </c>
      <c r="D127" s="64">
        <v>59200</v>
      </c>
      <c r="E127" s="65">
        <v>99400</v>
      </c>
    </row>
    <row r="128" spans="1:5" ht="16" x14ac:dyDescent="0.2">
      <c r="A128" s="14">
        <v>53187</v>
      </c>
      <c r="B128" s="51" t="s">
        <v>195</v>
      </c>
      <c r="C128" s="64">
        <v>50099.999999999993</v>
      </c>
      <c r="D128" s="64">
        <v>66800</v>
      </c>
      <c r="E128" s="65">
        <v>79800</v>
      </c>
    </row>
    <row r="129" spans="1:5" ht="16" x14ac:dyDescent="0.2">
      <c r="A129" s="14">
        <v>53195</v>
      </c>
      <c r="B129" s="51" t="s">
        <v>196</v>
      </c>
      <c r="C129" s="64">
        <v>75600</v>
      </c>
      <c r="D129" s="64">
        <v>100800</v>
      </c>
      <c r="E129" s="65">
        <v>99400</v>
      </c>
    </row>
    <row r="130" spans="1:5" ht="16" x14ac:dyDescent="0.2">
      <c r="A130" s="6">
        <v>53198</v>
      </c>
      <c r="B130" s="51" t="s">
        <v>197</v>
      </c>
      <c r="C130" s="64">
        <v>49200</v>
      </c>
      <c r="D130" s="64">
        <v>65600.000000000015</v>
      </c>
      <c r="E130" s="65">
        <v>99400</v>
      </c>
    </row>
    <row r="131" spans="1:5" ht="16" x14ac:dyDescent="0.2">
      <c r="A131" s="14">
        <v>53200</v>
      </c>
      <c r="B131" s="51" t="s">
        <v>198</v>
      </c>
      <c r="C131" s="64">
        <v>85500</v>
      </c>
      <c r="D131" s="64">
        <v>114000</v>
      </c>
      <c r="E131" s="65">
        <v>105000</v>
      </c>
    </row>
    <row r="132" spans="1:5" ht="16" x14ac:dyDescent="0.2">
      <c r="A132" s="14">
        <v>53372</v>
      </c>
      <c r="B132" s="53" t="s">
        <v>199</v>
      </c>
      <c r="C132" s="64">
        <v>54599.999999999993</v>
      </c>
      <c r="D132" s="64">
        <v>72800</v>
      </c>
      <c r="E132" s="65">
        <v>89950</v>
      </c>
    </row>
    <row r="133" spans="1:5" ht="16" x14ac:dyDescent="0.2">
      <c r="A133" s="14">
        <v>53374</v>
      </c>
      <c r="B133" s="53" t="s">
        <v>200</v>
      </c>
      <c r="C133" s="64">
        <v>55199.999999999993</v>
      </c>
      <c r="D133" s="64">
        <v>73600</v>
      </c>
      <c r="E133" s="65">
        <v>89950</v>
      </c>
    </row>
    <row r="134" spans="1:5" ht="16" x14ac:dyDescent="0.2">
      <c r="A134" s="14">
        <v>53390</v>
      </c>
      <c r="B134" s="53" t="s">
        <v>201</v>
      </c>
      <c r="C134" s="64">
        <v>65699.999999999985</v>
      </c>
      <c r="D134" s="64">
        <v>87600</v>
      </c>
    </row>
    <row r="135" spans="1:5" ht="16" x14ac:dyDescent="0.2">
      <c r="A135" s="14">
        <v>53400</v>
      </c>
      <c r="B135" s="53" t="s">
        <v>202</v>
      </c>
      <c r="C135" s="64">
        <v>81000</v>
      </c>
      <c r="D135" s="64">
        <v>108000</v>
      </c>
      <c r="E135" s="65">
        <v>105000</v>
      </c>
    </row>
    <row r="136" spans="1:5" ht="16" x14ac:dyDescent="0.2">
      <c r="A136" s="14">
        <v>53488</v>
      </c>
      <c r="B136" s="53" t="s">
        <v>209</v>
      </c>
      <c r="C136" s="64">
        <v>50099.999999999993</v>
      </c>
      <c r="D136" s="64">
        <v>66800</v>
      </c>
      <c r="E136" s="65">
        <v>105000</v>
      </c>
    </row>
    <row r="137" spans="1:5" ht="16" x14ac:dyDescent="0.2">
      <c r="A137" s="14">
        <v>53493</v>
      </c>
      <c r="B137" s="53" t="s">
        <v>210</v>
      </c>
      <c r="C137" s="64">
        <v>53699.999999999993</v>
      </c>
      <c r="D137" s="64">
        <v>71600</v>
      </c>
      <c r="E137" s="65">
        <v>114800</v>
      </c>
    </row>
    <row r="138" spans="1:5" ht="16" x14ac:dyDescent="0.2">
      <c r="A138" s="14">
        <v>53540</v>
      </c>
      <c r="B138" s="53" t="s">
        <v>153</v>
      </c>
      <c r="C138" s="64">
        <v>59700</v>
      </c>
      <c r="D138" s="64">
        <v>79600.000000000015</v>
      </c>
      <c r="E138" s="65">
        <v>129500</v>
      </c>
    </row>
    <row r="139" spans="1:5" ht="16" x14ac:dyDescent="0.2">
      <c r="A139" s="14">
        <v>53588</v>
      </c>
      <c r="B139" s="53" t="s">
        <v>211</v>
      </c>
      <c r="C139" s="64">
        <v>63000</v>
      </c>
      <c r="D139" s="64">
        <v>84000</v>
      </c>
    </row>
    <row r="140" spans="1:5" ht="16" x14ac:dyDescent="0.2">
      <c r="A140" s="14">
        <v>53596</v>
      </c>
      <c r="B140" s="53" t="s">
        <v>212</v>
      </c>
      <c r="C140" s="64">
        <v>67800.000000000015</v>
      </c>
      <c r="D140" s="64">
        <v>90400</v>
      </c>
      <c r="E140" s="65">
        <v>105000</v>
      </c>
    </row>
    <row r="141" spans="1:5" ht="16" x14ac:dyDescent="0.2">
      <c r="A141" s="14">
        <v>53616</v>
      </c>
      <c r="B141" s="51" t="s">
        <v>213</v>
      </c>
      <c r="C141" s="64">
        <v>44442.857142857138</v>
      </c>
      <c r="D141" s="64">
        <v>59257.142857142848</v>
      </c>
      <c r="E141" s="65">
        <v>89950</v>
      </c>
    </row>
    <row r="142" spans="1:5" ht="16" x14ac:dyDescent="0.2">
      <c r="A142" s="14">
        <v>53620</v>
      </c>
      <c r="B142" s="51" t="s">
        <v>214</v>
      </c>
      <c r="C142" s="64">
        <v>45000</v>
      </c>
      <c r="D142" s="64">
        <v>60000</v>
      </c>
      <c r="E142" s="65">
        <v>89950</v>
      </c>
    </row>
    <row r="143" spans="1:5" ht="16" x14ac:dyDescent="0.2">
      <c r="A143" s="14">
        <v>53702</v>
      </c>
      <c r="B143" s="51" t="s">
        <v>215</v>
      </c>
      <c r="C143" s="64">
        <v>44100.000000000007</v>
      </c>
      <c r="D143" s="64">
        <v>58800.000000000015</v>
      </c>
      <c r="E143" s="65">
        <v>89950</v>
      </c>
    </row>
    <row r="144" spans="1:5" ht="16" x14ac:dyDescent="0.2">
      <c r="A144" s="14">
        <v>53727</v>
      </c>
      <c r="B144" s="51" t="s">
        <v>216</v>
      </c>
      <c r="C144" s="64">
        <v>54342.857142857101</v>
      </c>
      <c r="D144" s="64">
        <v>72457.142857142797</v>
      </c>
      <c r="E144" s="65">
        <v>99400</v>
      </c>
    </row>
    <row r="145" spans="1:5" ht="16" x14ac:dyDescent="0.2">
      <c r="A145" s="14">
        <v>53859</v>
      </c>
      <c r="B145" s="51" t="s">
        <v>149</v>
      </c>
      <c r="C145" s="64">
        <v>44400.000000000007</v>
      </c>
      <c r="D145" s="64">
        <v>59200</v>
      </c>
      <c r="E145" s="65">
        <v>89950</v>
      </c>
    </row>
    <row r="146" spans="1:5" ht="16" x14ac:dyDescent="0.2">
      <c r="A146" s="14">
        <v>53900</v>
      </c>
      <c r="B146" s="51" t="s">
        <v>148</v>
      </c>
      <c r="C146" s="64">
        <v>72300.000000000015</v>
      </c>
      <c r="D146" s="64">
        <v>96400</v>
      </c>
      <c r="E146" s="65">
        <v>139900</v>
      </c>
    </row>
    <row r="147" spans="1:5" ht="16" x14ac:dyDescent="0.2">
      <c r="A147" s="14">
        <v>54020</v>
      </c>
      <c r="B147" s="51" t="s">
        <v>230</v>
      </c>
      <c r="C147" s="64">
        <v>49971.428571428572</v>
      </c>
      <c r="D147" s="64">
        <v>66628.571428571435</v>
      </c>
      <c r="E147" s="65">
        <v>89950</v>
      </c>
    </row>
    <row r="148" spans="1:5" ht="16" x14ac:dyDescent="0.2">
      <c r="A148" s="14">
        <v>54060</v>
      </c>
      <c r="B148" s="51" t="s">
        <v>231</v>
      </c>
      <c r="C148" s="64">
        <v>49971.428571428572</v>
      </c>
      <c r="D148" s="64">
        <v>66628.571428571435</v>
      </c>
      <c r="E148" s="65">
        <v>99400</v>
      </c>
    </row>
    <row r="149" spans="1:5" ht="16" x14ac:dyDescent="0.2">
      <c r="A149" s="14">
        <v>54202</v>
      </c>
      <c r="B149" s="51" t="s">
        <v>232</v>
      </c>
      <c r="C149" s="64">
        <v>47185.71428571429</v>
      </c>
      <c r="D149" s="64">
        <v>62914.285714285717</v>
      </c>
    </row>
    <row r="150" spans="1:5" ht="16" x14ac:dyDescent="0.2">
      <c r="A150" s="14">
        <v>54206</v>
      </c>
      <c r="B150" s="51" t="s">
        <v>233</v>
      </c>
      <c r="C150" s="64">
        <v>52114.285714285805</v>
      </c>
      <c r="D150" s="64">
        <v>69485.714285714406</v>
      </c>
      <c r="E150" s="65"/>
    </row>
    <row r="151" spans="1:5" ht="16" x14ac:dyDescent="0.2">
      <c r="A151" s="14">
        <v>54539</v>
      </c>
      <c r="B151" s="51" t="s">
        <v>150</v>
      </c>
      <c r="C151" s="64">
        <v>31500</v>
      </c>
      <c r="D151" s="64">
        <v>42000</v>
      </c>
      <c r="E151" s="65">
        <v>79800</v>
      </c>
    </row>
    <row r="152" spans="1:5" ht="16" x14ac:dyDescent="0.2">
      <c r="A152" s="14">
        <v>54543</v>
      </c>
      <c r="B152" s="51" t="s">
        <v>151</v>
      </c>
      <c r="C152" s="64">
        <v>32700.000000000004</v>
      </c>
      <c r="D152" s="64">
        <v>43600</v>
      </c>
      <c r="E152" s="65">
        <v>89950</v>
      </c>
    </row>
    <row r="153" spans="1:5" ht="16" x14ac:dyDescent="0.2">
      <c r="A153" s="14">
        <v>54701</v>
      </c>
      <c r="B153" s="51" t="s">
        <v>146</v>
      </c>
      <c r="C153" s="64">
        <v>56399.999999999993</v>
      </c>
      <c r="D153" s="64">
        <v>75199.999999999985</v>
      </c>
      <c r="E153" s="65">
        <v>99400</v>
      </c>
    </row>
    <row r="154" spans="1:5" ht="16" x14ac:dyDescent="0.2">
      <c r="A154" s="14">
        <v>54798</v>
      </c>
      <c r="B154" s="58" t="s">
        <v>237</v>
      </c>
      <c r="C154" s="64">
        <v>44100.000000000007</v>
      </c>
      <c r="D154" s="64">
        <v>58800.000000000015</v>
      </c>
      <c r="E154" s="65">
        <v>99400</v>
      </c>
    </row>
    <row r="155" spans="1:5" ht="16" x14ac:dyDescent="0.2">
      <c r="A155" s="14">
        <v>54883</v>
      </c>
      <c r="B155" s="58" t="s">
        <v>238</v>
      </c>
      <c r="C155" s="64">
        <v>66600.000000000015</v>
      </c>
      <c r="D155" s="64">
        <v>88800.000000000015</v>
      </c>
      <c r="E155" s="65">
        <v>114800</v>
      </c>
    </row>
    <row r="156" spans="1:5" ht="16" x14ac:dyDescent="0.2">
      <c r="A156" s="14">
        <v>54888</v>
      </c>
      <c r="B156" s="21" t="s">
        <v>98</v>
      </c>
      <c r="C156" s="64">
        <v>78899.999999999985</v>
      </c>
      <c r="D156" s="64">
        <v>105199.99999999999</v>
      </c>
      <c r="E156" s="65">
        <v>129500</v>
      </c>
    </row>
    <row r="157" spans="1:5" ht="16" x14ac:dyDescent="0.2">
      <c r="A157" s="14">
        <v>54890</v>
      </c>
      <c r="B157" s="21" t="s">
        <v>99</v>
      </c>
      <c r="C157" s="64">
        <v>99300.000000000015</v>
      </c>
      <c r="D157" s="64">
        <v>132400</v>
      </c>
      <c r="E157" s="65">
        <v>139900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30BA-F4BA-B041-B9BE-4BE5DA0F2B14}">
  <dimension ref="A1:G157"/>
  <sheetViews>
    <sheetView workbookViewId="0">
      <selection activeCell="I155" sqref="I155"/>
    </sheetView>
  </sheetViews>
  <sheetFormatPr baseColWidth="10" defaultRowHeight="15" x14ac:dyDescent="0.2"/>
  <cols>
    <col min="2" max="2" width="31.1640625" bestFit="1" customWidth="1"/>
  </cols>
  <sheetData>
    <row r="1" spans="1:7" ht="16" x14ac:dyDescent="0.2">
      <c r="A1" s="9" t="s">
        <v>25</v>
      </c>
      <c r="B1" s="7" t="s">
        <v>26</v>
      </c>
      <c r="D1" s="61" t="s">
        <v>245</v>
      </c>
      <c r="E1" s="72"/>
      <c r="F1" s="61" t="s">
        <v>246</v>
      </c>
      <c r="G1" s="61" t="s">
        <v>56</v>
      </c>
    </row>
    <row r="2" spans="1:7" ht="16" x14ac:dyDescent="0.2">
      <c r="A2" s="43">
        <v>24557</v>
      </c>
      <c r="B2" s="47" t="s">
        <v>123</v>
      </c>
      <c r="D2" s="66">
        <v>20.16</v>
      </c>
      <c r="E2" s="66">
        <v>21.6</v>
      </c>
      <c r="F2" s="66">
        <v>28.800000000000004</v>
      </c>
      <c r="G2" s="66">
        <v>57.600000000000009</v>
      </c>
    </row>
    <row r="3" spans="1:7" ht="16" x14ac:dyDescent="0.2">
      <c r="A3" s="43">
        <v>25221</v>
      </c>
      <c r="B3" s="47" t="s">
        <v>122</v>
      </c>
      <c r="D3" s="66">
        <v>25.059999999999995</v>
      </c>
      <c r="E3" s="66">
        <v>26.849999999999998</v>
      </c>
      <c r="F3" s="66">
        <v>35.799999999999997</v>
      </c>
      <c r="G3" s="66">
        <v>71.599999999999994</v>
      </c>
    </row>
    <row r="4" spans="1:7" ht="16" x14ac:dyDescent="0.2">
      <c r="A4" s="43">
        <v>25339</v>
      </c>
      <c r="B4" s="47" t="s">
        <v>121</v>
      </c>
      <c r="D4" s="66">
        <v>20.86</v>
      </c>
      <c r="E4" s="66">
        <v>22.35</v>
      </c>
      <c r="F4" s="66">
        <v>29.8</v>
      </c>
      <c r="G4" s="66">
        <v>59.6</v>
      </c>
    </row>
    <row r="5" spans="1:7" ht="16" x14ac:dyDescent="0.2">
      <c r="A5" s="43">
        <v>25444</v>
      </c>
      <c r="B5" s="47" t="s">
        <v>120</v>
      </c>
      <c r="D5" s="66">
        <v>21.56</v>
      </c>
      <c r="E5" s="66">
        <v>23.1</v>
      </c>
      <c r="F5" s="66">
        <v>30.8</v>
      </c>
      <c r="G5" s="66">
        <v>61.6</v>
      </c>
    </row>
    <row r="6" spans="1:7" ht="16" x14ac:dyDescent="0.2">
      <c r="A6" s="43">
        <v>25454</v>
      </c>
      <c r="B6" s="48" t="s">
        <v>119</v>
      </c>
      <c r="D6" s="66">
        <v>19.32</v>
      </c>
      <c r="E6" s="66">
        <v>20.700000000000003</v>
      </c>
      <c r="F6" s="66">
        <v>27.6</v>
      </c>
      <c r="G6" s="66">
        <v>55.2</v>
      </c>
    </row>
    <row r="7" spans="1:7" ht="16" x14ac:dyDescent="0.2">
      <c r="A7" s="43">
        <v>25459</v>
      </c>
      <c r="B7" s="49" t="s">
        <v>124</v>
      </c>
      <c r="D7" s="66">
        <v>22.259999999999998</v>
      </c>
      <c r="E7" s="66">
        <v>23.85</v>
      </c>
      <c r="F7" s="66">
        <v>31.8</v>
      </c>
      <c r="G7" s="66">
        <v>63.6</v>
      </c>
    </row>
    <row r="8" spans="1:7" ht="16" x14ac:dyDescent="0.2">
      <c r="A8" s="43">
        <v>25466</v>
      </c>
      <c r="B8" s="48" t="s">
        <v>114</v>
      </c>
      <c r="D8" s="66">
        <v>15.68</v>
      </c>
      <c r="E8" s="66">
        <v>16.8</v>
      </c>
      <c r="F8" s="66">
        <v>22.400000000000002</v>
      </c>
      <c r="G8" s="66">
        <v>44.800000000000004</v>
      </c>
    </row>
    <row r="9" spans="1:7" ht="16" x14ac:dyDescent="0.2">
      <c r="A9" s="43">
        <v>25473</v>
      </c>
      <c r="B9" s="48" t="s">
        <v>111</v>
      </c>
      <c r="D9" s="66">
        <v>22.19</v>
      </c>
      <c r="E9" s="66">
        <v>23.775000000000002</v>
      </c>
      <c r="F9" s="66">
        <v>31.700000000000003</v>
      </c>
      <c r="G9" s="66">
        <v>63.400000000000006</v>
      </c>
    </row>
    <row r="10" spans="1:7" ht="16" x14ac:dyDescent="0.2">
      <c r="A10" s="43">
        <v>25481</v>
      </c>
      <c r="B10" s="48" t="s">
        <v>110</v>
      </c>
      <c r="D10" s="66">
        <v>22.259999999999998</v>
      </c>
      <c r="E10" s="66">
        <v>23.85</v>
      </c>
      <c r="F10" s="66">
        <v>31.8</v>
      </c>
      <c r="G10" s="66">
        <v>63.6</v>
      </c>
    </row>
    <row r="11" spans="1:7" ht="16" x14ac:dyDescent="0.2">
      <c r="A11" s="43">
        <v>26062</v>
      </c>
      <c r="B11" s="48" t="s">
        <v>108</v>
      </c>
      <c r="D11" s="66">
        <v>17.079999999999998</v>
      </c>
      <c r="E11" s="66">
        <v>18.299999999999997</v>
      </c>
      <c r="F11" s="66">
        <v>24.4</v>
      </c>
      <c r="G11" s="66">
        <v>48.8</v>
      </c>
    </row>
    <row r="12" spans="1:7" ht="16" x14ac:dyDescent="0.2">
      <c r="A12" s="43">
        <v>26085</v>
      </c>
      <c r="B12" s="48" t="s">
        <v>118</v>
      </c>
      <c r="D12" s="66">
        <v>22.19</v>
      </c>
      <c r="E12" s="66">
        <v>23.775000000000002</v>
      </c>
      <c r="F12" s="66">
        <v>31.700000000000003</v>
      </c>
      <c r="G12" s="66">
        <v>63.400000000000006</v>
      </c>
    </row>
    <row r="13" spans="1:7" ht="16" x14ac:dyDescent="0.2">
      <c r="A13" s="43">
        <v>26787</v>
      </c>
      <c r="B13" s="48" t="s">
        <v>116</v>
      </c>
      <c r="D13" s="66">
        <v>25.62</v>
      </c>
      <c r="E13" s="66">
        <v>27.450000000000003</v>
      </c>
      <c r="F13" s="66">
        <v>36.6</v>
      </c>
      <c r="G13" s="66">
        <v>73.2</v>
      </c>
    </row>
    <row r="14" spans="1:7" ht="16" x14ac:dyDescent="0.2">
      <c r="A14" s="43">
        <v>26900</v>
      </c>
      <c r="B14" s="48" t="s">
        <v>117</v>
      </c>
      <c r="D14" s="66">
        <v>22.19</v>
      </c>
      <c r="E14" s="66">
        <v>23.775000000000002</v>
      </c>
      <c r="F14" s="66">
        <v>31.700000000000003</v>
      </c>
      <c r="G14" s="66">
        <v>63.400000000000006</v>
      </c>
    </row>
    <row r="15" spans="1:7" ht="16" x14ac:dyDescent="0.2">
      <c r="A15" s="43">
        <v>26930</v>
      </c>
      <c r="B15" s="48" t="s">
        <v>115</v>
      </c>
      <c r="D15" s="66">
        <v>15.68</v>
      </c>
      <c r="E15" s="66">
        <v>16.8</v>
      </c>
      <c r="F15" s="66">
        <v>22.400000000000002</v>
      </c>
      <c r="G15" s="66">
        <v>44.800000000000004</v>
      </c>
    </row>
    <row r="16" spans="1:7" ht="16" x14ac:dyDescent="0.2">
      <c r="A16" s="43">
        <v>26941</v>
      </c>
      <c r="B16" s="48" t="s">
        <v>113</v>
      </c>
      <c r="D16" s="66">
        <v>21.490000000000002</v>
      </c>
      <c r="E16" s="66">
        <v>23.025000000000002</v>
      </c>
      <c r="F16" s="66">
        <v>30.700000000000003</v>
      </c>
      <c r="G16" s="66">
        <v>61.400000000000006</v>
      </c>
    </row>
    <row r="17" spans="1:7" ht="16" x14ac:dyDescent="0.2">
      <c r="A17" s="43">
        <v>26947</v>
      </c>
      <c r="B17" s="48" t="s">
        <v>112</v>
      </c>
      <c r="D17" s="66">
        <v>19.32</v>
      </c>
      <c r="E17" s="66">
        <v>20.700000000000003</v>
      </c>
      <c r="F17" s="66">
        <v>27.6</v>
      </c>
      <c r="G17" s="66">
        <v>55.2</v>
      </c>
    </row>
    <row r="18" spans="1:7" ht="16" x14ac:dyDescent="0.2">
      <c r="A18" s="43">
        <v>26953</v>
      </c>
      <c r="B18" s="47" t="s">
        <v>109</v>
      </c>
      <c r="D18" s="66">
        <v>19.32</v>
      </c>
      <c r="E18" s="66">
        <v>20.700000000000003</v>
      </c>
      <c r="F18" s="66">
        <v>27.6</v>
      </c>
      <c r="G18" s="66">
        <v>55.2</v>
      </c>
    </row>
    <row r="19" spans="1:7" ht="16" x14ac:dyDescent="0.2">
      <c r="A19" s="14">
        <v>41189</v>
      </c>
      <c r="B19" s="21" t="s">
        <v>63</v>
      </c>
      <c r="D19" s="66">
        <v>19.740000000000002</v>
      </c>
      <c r="E19" s="66">
        <v>21.150000000000002</v>
      </c>
      <c r="F19" s="66">
        <v>28.200000000000003</v>
      </c>
      <c r="G19" s="66">
        <v>56.400000000000006</v>
      </c>
    </row>
    <row r="20" spans="1:7" ht="16" x14ac:dyDescent="0.2">
      <c r="A20" s="14">
        <v>41200</v>
      </c>
      <c r="B20" s="21" t="s">
        <v>64</v>
      </c>
      <c r="D20" s="66">
        <v>23.45</v>
      </c>
      <c r="E20" s="66">
        <v>25.125</v>
      </c>
      <c r="F20" s="66">
        <v>33.5</v>
      </c>
      <c r="G20" s="66">
        <v>67</v>
      </c>
    </row>
    <row r="21" spans="1:7" ht="16" x14ac:dyDescent="0.2">
      <c r="A21" s="14">
        <v>41220</v>
      </c>
      <c r="B21" s="21" t="s">
        <v>65</v>
      </c>
      <c r="D21" s="66">
        <v>32.829999999999991</v>
      </c>
      <c r="E21" s="66">
        <v>35.174999999999997</v>
      </c>
      <c r="F21" s="66">
        <v>46.899999999999991</v>
      </c>
      <c r="G21" s="66">
        <v>93.799999999999983</v>
      </c>
    </row>
    <row r="22" spans="1:7" ht="16" x14ac:dyDescent="0.2">
      <c r="A22" s="14">
        <v>42287</v>
      </c>
      <c r="B22" s="21" t="s">
        <v>66</v>
      </c>
      <c r="D22" s="66">
        <v>19.740000000000002</v>
      </c>
      <c r="E22" s="66">
        <v>21.150000000000002</v>
      </c>
      <c r="F22" s="66">
        <v>28.200000000000003</v>
      </c>
      <c r="G22" s="66">
        <v>56.400000000000006</v>
      </c>
    </row>
    <row r="23" spans="1:7" ht="16" x14ac:dyDescent="0.2">
      <c r="A23" s="14">
        <v>42300</v>
      </c>
      <c r="B23" s="22" t="s">
        <v>67</v>
      </c>
      <c r="D23" s="66">
        <v>23.45</v>
      </c>
      <c r="E23" s="66">
        <v>25.125</v>
      </c>
      <c r="F23" s="66">
        <v>33.5</v>
      </c>
      <c r="G23" s="66">
        <v>67</v>
      </c>
    </row>
    <row r="24" spans="1:7" ht="16" x14ac:dyDescent="0.2">
      <c r="A24" s="14">
        <v>42320</v>
      </c>
      <c r="B24" s="21" t="s">
        <v>68</v>
      </c>
      <c r="D24" s="66">
        <v>32.829999999999991</v>
      </c>
      <c r="E24" s="66">
        <v>35.174999999999997</v>
      </c>
      <c r="F24" s="66">
        <v>46.899999999999991</v>
      </c>
      <c r="G24" s="66">
        <v>93.799999999999983</v>
      </c>
    </row>
    <row r="25" spans="1:7" ht="16" x14ac:dyDescent="0.2">
      <c r="A25" s="14">
        <v>42386</v>
      </c>
      <c r="B25" s="21" t="s">
        <v>69</v>
      </c>
      <c r="D25" s="66">
        <v>17.779999999999998</v>
      </c>
      <c r="E25" s="66">
        <v>19.049999999999997</v>
      </c>
      <c r="F25" s="66">
        <v>25.4</v>
      </c>
      <c r="G25" s="66">
        <v>43.18</v>
      </c>
    </row>
    <row r="26" spans="1:7" ht="16" x14ac:dyDescent="0.2">
      <c r="A26" s="14">
        <v>42390</v>
      </c>
      <c r="B26" s="21" t="s">
        <v>70</v>
      </c>
      <c r="D26" s="66">
        <v>26.04</v>
      </c>
      <c r="E26" s="66">
        <v>27.900000000000002</v>
      </c>
      <c r="F26" s="66">
        <v>37.200000000000003</v>
      </c>
      <c r="G26" s="66">
        <v>63.24</v>
      </c>
    </row>
    <row r="27" spans="1:7" ht="16" x14ac:dyDescent="0.2">
      <c r="A27" s="14">
        <v>42395</v>
      </c>
      <c r="B27" s="21" t="s">
        <v>71</v>
      </c>
      <c r="D27" s="66">
        <v>33.11</v>
      </c>
      <c r="E27" s="66">
        <v>35.474999999999994</v>
      </c>
      <c r="F27" s="66">
        <v>47.3</v>
      </c>
      <c r="G27" s="66">
        <v>80.41</v>
      </c>
    </row>
    <row r="28" spans="1:7" ht="16" x14ac:dyDescent="0.2">
      <c r="A28" s="14">
        <v>42397</v>
      </c>
      <c r="B28" s="22" t="s">
        <v>72</v>
      </c>
      <c r="D28" s="66">
        <v>42.699999999999996</v>
      </c>
      <c r="E28" s="66">
        <v>45.75</v>
      </c>
      <c r="F28" s="66">
        <v>61</v>
      </c>
      <c r="G28" s="66">
        <v>103.69999999999999</v>
      </c>
    </row>
    <row r="29" spans="1:7" ht="16" x14ac:dyDescent="0.2">
      <c r="A29" s="14">
        <v>42490</v>
      </c>
      <c r="B29" s="21" t="s">
        <v>73</v>
      </c>
      <c r="D29" s="66">
        <v>17.009999999999998</v>
      </c>
      <c r="E29" s="66">
        <v>18.225000000000001</v>
      </c>
      <c r="F29" s="66">
        <v>24.3</v>
      </c>
      <c r="G29" s="66">
        <v>48.6</v>
      </c>
    </row>
    <row r="30" spans="1:7" ht="16" x14ac:dyDescent="0.2">
      <c r="A30" s="14">
        <v>42496</v>
      </c>
      <c r="B30" s="22" t="s">
        <v>74</v>
      </c>
      <c r="D30" s="66">
        <v>21</v>
      </c>
      <c r="E30" s="66">
        <v>22.5</v>
      </c>
      <c r="F30" s="66">
        <v>30</v>
      </c>
      <c r="G30" s="66">
        <v>60</v>
      </c>
    </row>
    <row r="31" spans="1:7" ht="16" x14ac:dyDescent="0.2">
      <c r="A31" s="14">
        <v>42498</v>
      </c>
      <c r="B31" s="21" t="s">
        <v>75</v>
      </c>
      <c r="D31" s="66">
        <v>24.01</v>
      </c>
      <c r="E31" s="66">
        <v>25.725000000000001</v>
      </c>
      <c r="F31" s="66">
        <v>34.300000000000004</v>
      </c>
      <c r="G31" s="66">
        <v>68.600000000000009</v>
      </c>
    </row>
    <row r="32" spans="1:7" ht="16" x14ac:dyDescent="0.2">
      <c r="A32" s="14">
        <v>42500</v>
      </c>
      <c r="B32" s="21" t="s">
        <v>76</v>
      </c>
      <c r="D32" s="66">
        <v>28.979999999999997</v>
      </c>
      <c r="E32" s="66">
        <v>31.049999999999997</v>
      </c>
      <c r="F32" s="66">
        <v>41.4</v>
      </c>
      <c r="G32" s="66">
        <v>82.8</v>
      </c>
    </row>
    <row r="33" spans="1:7" ht="16" x14ac:dyDescent="0.2">
      <c r="A33" s="14">
        <v>42520</v>
      </c>
      <c r="B33" s="21" t="s">
        <v>77</v>
      </c>
      <c r="D33" s="66">
        <v>31.71</v>
      </c>
      <c r="E33" s="66">
        <v>33.975000000000001</v>
      </c>
      <c r="F33" s="66">
        <v>45.300000000000004</v>
      </c>
      <c r="G33" s="66">
        <v>90.600000000000009</v>
      </c>
    </row>
    <row r="34" spans="1:7" ht="16" x14ac:dyDescent="0.2">
      <c r="A34" s="14">
        <v>42540</v>
      </c>
      <c r="B34" s="21" t="s">
        <v>78</v>
      </c>
      <c r="D34" s="66">
        <v>35.489999999999995</v>
      </c>
      <c r="E34" s="66">
        <v>38.024999999999999</v>
      </c>
      <c r="F34" s="66">
        <v>50.699999999999996</v>
      </c>
      <c r="G34" s="66">
        <v>101.39999999999999</v>
      </c>
    </row>
    <row r="35" spans="1:7" ht="16" x14ac:dyDescent="0.2">
      <c r="A35" s="14">
        <v>42598</v>
      </c>
      <c r="B35" s="21" t="s">
        <v>79</v>
      </c>
      <c r="D35" s="66">
        <v>30.379999999999995</v>
      </c>
      <c r="E35" s="66">
        <v>32.549999999999997</v>
      </c>
      <c r="F35" s="66">
        <v>43.4</v>
      </c>
      <c r="G35" s="66">
        <v>86.8</v>
      </c>
    </row>
    <row r="36" spans="1:7" ht="16" x14ac:dyDescent="0.2">
      <c r="A36" s="14">
        <v>42600</v>
      </c>
      <c r="B36" s="22" t="s">
        <v>80</v>
      </c>
      <c r="D36" s="66">
        <v>34.29999999999999</v>
      </c>
      <c r="E36" s="66">
        <v>36.749999999999993</v>
      </c>
      <c r="F36" s="66">
        <v>48.999999999999993</v>
      </c>
      <c r="G36" s="66">
        <v>93.1</v>
      </c>
    </row>
    <row r="37" spans="1:7" ht="16" x14ac:dyDescent="0.2">
      <c r="A37" s="14">
        <v>42687</v>
      </c>
      <c r="B37" s="53" t="s">
        <v>154</v>
      </c>
      <c r="D37" s="66">
        <v>12.67</v>
      </c>
      <c r="E37" s="66">
        <v>13.575000000000001</v>
      </c>
      <c r="F37" s="66">
        <v>18.100000000000001</v>
      </c>
      <c r="G37" s="66">
        <v>36.200000000000003</v>
      </c>
    </row>
    <row r="38" spans="1:7" ht="16" x14ac:dyDescent="0.2">
      <c r="A38" s="14">
        <v>42689</v>
      </c>
      <c r="B38" s="53" t="s">
        <v>155</v>
      </c>
      <c r="D38" s="66">
        <v>8.6800000000000015</v>
      </c>
      <c r="E38" s="66">
        <v>9.3000000000000007</v>
      </c>
      <c r="F38" s="66">
        <v>12.400000000000002</v>
      </c>
      <c r="G38" s="66">
        <v>24.800000000000004</v>
      </c>
    </row>
    <row r="39" spans="1:7" ht="16" x14ac:dyDescent="0.2">
      <c r="A39" s="14">
        <v>42693</v>
      </c>
      <c r="B39" s="53" t="s">
        <v>156</v>
      </c>
      <c r="D39" s="66">
        <v>14.7</v>
      </c>
      <c r="E39" s="66">
        <v>15.75</v>
      </c>
      <c r="F39" s="66">
        <v>21</v>
      </c>
      <c r="G39" s="66">
        <v>42</v>
      </c>
    </row>
    <row r="40" spans="1:7" ht="16" x14ac:dyDescent="0.2">
      <c r="A40" s="6">
        <v>42694</v>
      </c>
      <c r="B40" s="53" t="s">
        <v>157</v>
      </c>
      <c r="D40" s="66">
        <v>9.31</v>
      </c>
      <c r="E40" s="66">
        <v>9.9750000000000014</v>
      </c>
      <c r="F40" s="66">
        <v>13.3</v>
      </c>
      <c r="G40" s="66">
        <v>26.6</v>
      </c>
    </row>
    <row r="41" spans="1:7" ht="16" x14ac:dyDescent="0.2">
      <c r="A41" s="14">
        <v>42695</v>
      </c>
      <c r="B41" s="53" t="s">
        <v>158</v>
      </c>
      <c r="D41" s="66">
        <v>17.779999999999998</v>
      </c>
      <c r="E41" s="66">
        <v>19.049999999999997</v>
      </c>
      <c r="F41" s="66">
        <v>25.4</v>
      </c>
      <c r="G41" s="66">
        <v>50.8</v>
      </c>
    </row>
    <row r="42" spans="1:7" ht="16" x14ac:dyDescent="0.2">
      <c r="A42" s="6">
        <v>42697</v>
      </c>
      <c r="B42" s="53" t="s">
        <v>159</v>
      </c>
      <c r="D42" s="66">
        <v>10.78</v>
      </c>
      <c r="E42" s="66">
        <v>11.55</v>
      </c>
      <c r="F42" s="66">
        <v>15.4</v>
      </c>
      <c r="G42" s="66">
        <v>30.8</v>
      </c>
    </row>
    <row r="43" spans="1:7" ht="16" x14ac:dyDescent="0.2">
      <c r="A43" s="14">
        <v>42700</v>
      </c>
      <c r="B43" s="53" t="s">
        <v>160</v>
      </c>
      <c r="D43" s="66">
        <v>23.240000000000002</v>
      </c>
      <c r="E43" s="66">
        <v>24.900000000000002</v>
      </c>
      <c r="F43" s="66">
        <v>33.200000000000003</v>
      </c>
      <c r="G43" s="66">
        <v>66.400000000000006</v>
      </c>
    </row>
    <row r="44" spans="1:7" ht="16" x14ac:dyDescent="0.2">
      <c r="A44" s="14">
        <v>42782</v>
      </c>
      <c r="B44" s="53" t="s">
        <v>161</v>
      </c>
      <c r="D44" s="66">
        <v>11.409999999999997</v>
      </c>
      <c r="E44" s="66">
        <v>12.224999999999998</v>
      </c>
      <c r="F44" s="66">
        <v>16.299999999999997</v>
      </c>
      <c r="G44" s="66">
        <v>32.599999999999994</v>
      </c>
    </row>
    <row r="45" spans="1:7" ht="16" x14ac:dyDescent="0.2">
      <c r="A45" s="6">
        <v>42786</v>
      </c>
      <c r="B45" s="53" t="s">
        <v>162</v>
      </c>
      <c r="D45" s="66">
        <v>10.85</v>
      </c>
      <c r="E45" s="66">
        <v>11.625</v>
      </c>
      <c r="F45" s="66">
        <v>15.5</v>
      </c>
      <c r="G45" s="66">
        <v>31</v>
      </c>
    </row>
    <row r="46" spans="1:7" ht="16" x14ac:dyDescent="0.2">
      <c r="A46" s="14">
        <v>42787</v>
      </c>
      <c r="B46" s="53" t="s">
        <v>163</v>
      </c>
      <c r="D46" s="66">
        <v>10.85</v>
      </c>
      <c r="E46" s="66">
        <v>11.625</v>
      </c>
      <c r="F46" s="66">
        <v>15.5</v>
      </c>
      <c r="G46" s="66">
        <v>31</v>
      </c>
    </row>
    <row r="47" spans="1:7" ht="16" x14ac:dyDescent="0.2">
      <c r="A47" s="14">
        <v>42788</v>
      </c>
      <c r="B47" s="53" t="s">
        <v>164</v>
      </c>
      <c r="D47" s="66">
        <v>14.7</v>
      </c>
      <c r="E47" s="66">
        <v>15.75</v>
      </c>
      <c r="F47" s="66">
        <v>21</v>
      </c>
      <c r="G47" s="66">
        <v>42</v>
      </c>
    </row>
    <row r="48" spans="1:7" ht="16" x14ac:dyDescent="0.2">
      <c r="A48" s="14">
        <v>42793</v>
      </c>
      <c r="B48" s="53" t="s">
        <v>165</v>
      </c>
      <c r="D48" s="66">
        <v>18.759999999999998</v>
      </c>
      <c r="E48" s="66">
        <v>20.100000000000001</v>
      </c>
      <c r="F48" s="66">
        <v>26.8</v>
      </c>
      <c r="G48" s="66">
        <v>53.6</v>
      </c>
    </row>
    <row r="49" spans="1:7" ht="16" x14ac:dyDescent="0.2">
      <c r="A49" s="6">
        <v>42795</v>
      </c>
      <c r="B49" s="53" t="s">
        <v>166</v>
      </c>
      <c r="D49" s="66">
        <v>11.27</v>
      </c>
      <c r="E49" s="66">
        <v>12.075000000000001</v>
      </c>
      <c r="F49" s="66">
        <v>16.100000000000001</v>
      </c>
      <c r="G49" s="66">
        <v>32.200000000000003</v>
      </c>
    </row>
    <row r="50" spans="1:7" ht="16" x14ac:dyDescent="0.2">
      <c r="A50" s="14">
        <v>42800</v>
      </c>
      <c r="B50" s="53" t="s">
        <v>167</v>
      </c>
      <c r="D50" s="66">
        <v>25.76</v>
      </c>
      <c r="E50" s="66">
        <v>27.6</v>
      </c>
      <c r="F50" s="66">
        <v>36.800000000000004</v>
      </c>
      <c r="G50" s="66">
        <v>73.600000000000009</v>
      </c>
    </row>
    <row r="51" spans="1:7" ht="16" x14ac:dyDescent="0.2">
      <c r="A51" s="14">
        <v>42830</v>
      </c>
      <c r="B51" s="53" t="s">
        <v>168</v>
      </c>
      <c r="D51" s="66">
        <v>36.26</v>
      </c>
      <c r="E51" s="66">
        <v>38.849999999999994</v>
      </c>
      <c r="F51" s="66">
        <v>51.8</v>
      </c>
      <c r="G51" s="66">
        <v>103.6</v>
      </c>
    </row>
    <row r="52" spans="1:7" ht="16" x14ac:dyDescent="0.2">
      <c r="A52" s="14">
        <v>42982</v>
      </c>
      <c r="B52" s="51" t="s">
        <v>169</v>
      </c>
      <c r="D52" s="66">
        <v>24.990000000000002</v>
      </c>
      <c r="E52" s="66">
        <v>26.775000000000002</v>
      </c>
      <c r="F52" s="66">
        <v>35.700000000000003</v>
      </c>
      <c r="G52" s="66">
        <v>71.400000000000006</v>
      </c>
    </row>
    <row r="53" spans="1:7" ht="16" x14ac:dyDescent="0.2">
      <c r="A53" s="14">
        <v>42900</v>
      </c>
      <c r="B53" s="51" t="s">
        <v>170</v>
      </c>
      <c r="D53" s="66">
        <v>31.535999999999991</v>
      </c>
      <c r="E53" s="66">
        <v>33.788571428571416</v>
      </c>
      <c r="F53" s="66">
        <v>45.051428571428559</v>
      </c>
      <c r="G53" s="66">
        <v>95.73428571428569</v>
      </c>
    </row>
    <row r="54" spans="1:7" ht="16" x14ac:dyDescent="0.2">
      <c r="A54" s="14">
        <v>42925</v>
      </c>
      <c r="B54" s="51" t="s">
        <v>171</v>
      </c>
      <c r="D54" s="66">
        <v>33.520000000000017</v>
      </c>
      <c r="E54" s="66">
        <v>35.914285714285739</v>
      </c>
      <c r="F54" s="66">
        <v>47.885714285714315</v>
      </c>
      <c r="G54" s="66">
        <v>101.75714285714292</v>
      </c>
    </row>
    <row r="55" spans="1:7" ht="16" x14ac:dyDescent="0.2">
      <c r="A55" s="14">
        <v>42932</v>
      </c>
      <c r="B55" s="51" t="s">
        <v>172</v>
      </c>
      <c r="D55" s="66">
        <v>35.104000000000006</v>
      </c>
      <c r="E55" s="66">
        <v>37.611428571428576</v>
      </c>
      <c r="F55" s="66">
        <v>50.148571428571437</v>
      </c>
      <c r="G55" s="66">
        <v>106.56571428571431</v>
      </c>
    </row>
    <row r="56" spans="1:7" ht="16" x14ac:dyDescent="0.2">
      <c r="A56" s="6">
        <v>42986</v>
      </c>
      <c r="B56" s="53" t="s">
        <v>184</v>
      </c>
      <c r="D56" s="66">
        <v>11.27</v>
      </c>
      <c r="E56" s="66">
        <v>12.075000000000001</v>
      </c>
      <c r="F56" s="66">
        <v>16.100000000000001</v>
      </c>
      <c r="G56" s="66">
        <v>32.200000000000003</v>
      </c>
    </row>
    <row r="57" spans="1:7" ht="16" x14ac:dyDescent="0.2">
      <c r="A57" s="14">
        <v>43100</v>
      </c>
      <c r="B57" s="51" t="s">
        <v>185</v>
      </c>
      <c r="D57" s="66">
        <v>19.259999999999987</v>
      </c>
      <c r="E57" s="66">
        <v>20.635714285714272</v>
      </c>
      <c r="F57" s="66">
        <v>27.514285714285698</v>
      </c>
      <c r="G57" s="66">
        <v>55.028571428571396</v>
      </c>
    </row>
    <row r="58" spans="1:7" ht="16" x14ac:dyDescent="0.2">
      <c r="A58" s="14">
        <v>43109</v>
      </c>
      <c r="B58" s="51" t="s">
        <v>186</v>
      </c>
      <c r="D58" s="66">
        <v>24.760000000000019</v>
      </c>
      <c r="E58" s="66">
        <v>26.528571428571453</v>
      </c>
      <c r="F58" s="66">
        <v>35.371428571428602</v>
      </c>
      <c r="G58" s="66">
        <v>70.742857142857204</v>
      </c>
    </row>
    <row r="59" spans="1:7" ht="16" x14ac:dyDescent="0.2">
      <c r="A59" s="14">
        <v>43113</v>
      </c>
      <c r="B59" s="51" t="s">
        <v>187</v>
      </c>
      <c r="D59" s="66">
        <v>12.759999999999978</v>
      </c>
      <c r="E59" s="66">
        <v>13.67142857142855</v>
      </c>
      <c r="F59" s="66">
        <v>18.228571428571399</v>
      </c>
      <c r="G59" s="66">
        <v>36.457142857142799</v>
      </c>
    </row>
    <row r="60" spans="1:7" ht="16" x14ac:dyDescent="0.2">
      <c r="A60" s="14">
        <v>43115</v>
      </c>
      <c r="B60" s="51" t="s">
        <v>188</v>
      </c>
      <c r="D60" s="66">
        <v>15.059999999999988</v>
      </c>
      <c r="E60" s="66">
        <v>16.135714285714272</v>
      </c>
      <c r="F60" s="66">
        <v>21.514285714285698</v>
      </c>
      <c r="G60" s="66">
        <v>43.028571428571396</v>
      </c>
    </row>
    <row r="61" spans="1:7" ht="16" x14ac:dyDescent="0.2">
      <c r="A61" s="14">
        <v>43187</v>
      </c>
      <c r="B61" s="51" t="s">
        <v>189</v>
      </c>
      <c r="D61" s="66">
        <v>14.181999999999977</v>
      </c>
      <c r="E61" s="66">
        <v>15.194999999999977</v>
      </c>
      <c r="F61" s="66">
        <v>20.25999999999997</v>
      </c>
      <c r="G61" s="66">
        <v>57.885714285714201</v>
      </c>
    </row>
    <row r="62" spans="1:7" ht="16" x14ac:dyDescent="0.2">
      <c r="A62" s="6">
        <v>43189</v>
      </c>
      <c r="B62" s="53" t="s">
        <v>190</v>
      </c>
      <c r="D62" s="66">
        <v>10.682</v>
      </c>
      <c r="E62" s="66">
        <v>11.445</v>
      </c>
      <c r="F62" s="66">
        <v>15.260000000000002</v>
      </c>
      <c r="G62" s="66">
        <v>43.6</v>
      </c>
    </row>
    <row r="63" spans="1:7" ht="16" x14ac:dyDescent="0.2">
      <c r="A63" s="14">
        <v>43192</v>
      </c>
      <c r="B63" s="53" t="s">
        <v>191</v>
      </c>
      <c r="D63" s="66">
        <v>19.207999999999998</v>
      </c>
      <c r="E63" s="66">
        <v>20.580000000000002</v>
      </c>
      <c r="F63" s="66">
        <v>27.44</v>
      </c>
      <c r="G63" s="66">
        <v>78.400000000000006</v>
      </c>
    </row>
    <row r="64" spans="1:7" ht="16" x14ac:dyDescent="0.2">
      <c r="A64" s="14">
        <v>43195</v>
      </c>
      <c r="B64" s="51" t="s">
        <v>192</v>
      </c>
      <c r="D64" s="66">
        <v>21.265999999999998</v>
      </c>
      <c r="E64" s="66">
        <v>22.785</v>
      </c>
      <c r="F64" s="66">
        <v>30.38</v>
      </c>
      <c r="G64" s="66">
        <v>86.8</v>
      </c>
    </row>
    <row r="65" spans="1:7" ht="16" x14ac:dyDescent="0.2">
      <c r="A65" s="6">
        <v>43198</v>
      </c>
      <c r="B65" s="53" t="s">
        <v>193</v>
      </c>
      <c r="D65" s="66">
        <v>12.789</v>
      </c>
      <c r="E65" s="66">
        <v>13.702500000000001</v>
      </c>
      <c r="F65" s="66">
        <v>18.27</v>
      </c>
      <c r="G65" s="66">
        <v>52.199999999999996</v>
      </c>
    </row>
    <row r="66" spans="1:7" ht="16" x14ac:dyDescent="0.2">
      <c r="A66" s="14">
        <v>43200</v>
      </c>
      <c r="B66" s="51" t="s">
        <v>194</v>
      </c>
      <c r="D66" s="66">
        <v>23.471</v>
      </c>
      <c r="E66" s="66">
        <v>25.147500000000001</v>
      </c>
      <c r="F66" s="66">
        <v>33.53</v>
      </c>
      <c r="G66" s="66">
        <v>95.8</v>
      </c>
    </row>
    <row r="67" spans="1:7" ht="16" x14ac:dyDescent="0.2">
      <c r="A67" s="14">
        <v>43372</v>
      </c>
      <c r="B67" s="53" t="s">
        <v>203</v>
      </c>
      <c r="D67" s="66">
        <v>16.38</v>
      </c>
      <c r="E67" s="66">
        <v>17.549999999999997</v>
      </c>
      <c r="F67" s="66">
        <v>23.4</v>
      </c>
      <c r="G67" s="66">
        <v>46.8</v>
      </c>
    </row>
    <row r="68" spans="1:7" ht="16" x14ac:dyDescent="0.2">
      <c r="A68" s="14">
        <v>43390</v>
      </c>
      <c r="B68" s="53" t="s">
        <v>204</v>
      </c>
      <c r="D68" s="66">
        <v>28.139999999999993</v>
      </c>
      <c r="E68" s="66">
        <v>30.15</v>
      </c>
      <c r="F68" s="66">
        <v>40.199999999999996</v>
      </c>
      <c r="G68" s="66">
        <v>80.399999999999991</v>
      </c>
    </row>
    <row r="69" spans="1:7" ht="16" x14ac:dyDescent="0.2">
      <c r="A69" s="14">
        <v>43400</v>
      </c>
      <c r="B69" s="53" t="s">
        <v>205</v>
      </c>
      <c r="D69" s="66">
        <v>35.839999999999996</v>
      </c>
      <c r="E69" s="66">
        <v>38.400000000000006</v>
      </c>
      <c r="F69" s="66">
        <v>51.2</v>
      </c>
      <c r="G69" s="66">
        <v>102.4</v>
      </c>
    </row>
    <row r="70" spans="1:7" ht="16" x14ac:dyDescent="0.2">
      <c r="A70" s="14">
        <v>43488</v>
      </c>
      <c r="B70" s="53" t="s">
        <v>206</v>
      </c>
      <c r="D70" s="66">
        <v>15.12</v>
      </c>
      <c r="E70" s="66">
        <v>16.200000000000003</v>
      </c>
      <c r="F70" s="66">
        <v>21.6</v>
      </c>
      <c r="G70" s="66">
        <v>43.2</v>
      </c>
    </row>
    <row r="71" spans="1:7" ht="16" x14ac:dyDescent="0.2">
      <c r="A71" s="14">
        <v>43500</v>
      </c>
      <c r="B71" s="53" t="s">
        <v>207</v>
      </c>
      <c r="D71" s="66">
        <v>20.37</v>
      </c>
      <c r="E71" s="66">
        <v>21.825000000000003</v>
      </c>
      <c r="F71" s="66">
        <v>29.1</v>
      </c>
      <c r="G71" s="66">
        <v>58.2</v>
      </c>
    </row>
    <row r="72" spans="1:7" ht="16" x14ac:dyDescent="0.2">
      <c r="A72" s="14">
        <v>43540</v>
      </c>
      <c r="B72" s="53" t="s">
        <v>208</v>
      </c>
      <c r="D72" s="66">
        <v>26.669999999999998</v>
      </c>
      <c r="E72" s="66">
        <v>28.575000000000003</v>
      </c>
      <c r="F72" s="66">
        <v>38.1</v>
      </c>
      <c r="G72" s="66">
        <v>76.2</v>
      </c>
    </row>
    <row r="73" spans="1:7" ht="16" x14ac:dyDescent="0.2">
      <c r="A73" s="14">
        <v>43585</v>
      </c>
      <c r="B73" s="53" t="s">
        <v>221</v>
      </c>
      <c r="D73" s="66">
        <v>15.68</v>
      </c>
      <c r="E73" s="66">
        <v>16.8</v>
      </c>
      <c r="F73" s="66">
        <v>22.400000000000002</v>
      </c>
      <c r="G73" s="66">
        <v>44.800000000000004</v>
      </c>
    </row>
    <row r="74" spans="1:7" ht="16" x14ac:dyDescent="0.2">
      <c r="A74" s="14">
        <v>43588</v>
      </c>
      <c r="B74" s="53" t="s">
        <v>222</v>
      </c>
      <c r="D74" s="66">
        <v>20.440000000000001</v>
      </c>
      <c r="E74" s="66">
        <v>21.900000000000002</v>
      </c>
      <c r="F74" s="66">
        <v>29.200000000000003</v>
      </c>
      <c r="G74" s="66">
        <v>58.400000000000006</v>
      </c>
    </row>
    <row r="75" spans="1:7" ht="16" x14ac:dyDescent="0.2">
      <c r="A75" s="14">
        <v>43596</v>
      </c>
      <c r="B75" s="53" t="s">
        <v>223</v>
      </c>
      <c r="D75" s="66">
        <v>27.859999999999996</v>
      </c>
      <c r="E75" s="66">
        <v>29.849999999999998</v>
      </c>
      <c r="F75" s="66">
        <v>39.799999999999997</v>
      </c>
      <c r="G75" s="66">
        <v>79.599999999999994</v>
      </c>
    </row>
    <row r="76" spans="1:7" ht="16" x14ac:dyDescent="0.2">
      <c r="A76" s="14">
        <v>43616</v>
      </c>
      <c r="B76" s="51" t="s">
        <v>219</v>
      </c>
      <c r="D76" s="66">
        <v>14.060000000000011</v>
      </c>
      <c r="E76" s="66">
        <v>15.064285714285727</v>
      </c>
      <c r="F76" s="66">
        <v>20.085714285714303</v>
      </c>
      <c r="G76" s="66">
        <v>40.171428571428606</v>
      </c>
    </row>
    <row r="77" spans="1:7" ht="16" x14ac:dyDescent="0.2">
      <c r="A77" s="14">
        <v>43620</v>
      </c>
      <c r="B77" s="51" t="s">
        <v>220</v>
      </c>
      <c r="D77" s="66">
        <v>18.120000000000008</v>
      </c>
      <c r="E77" s="66">
        <v>19.414285714285725</v>
      </c>
      <c r="F77" s="66">
        <v>25.8857142857143</v>
      </c>
      <c r="G77" s="66">
        <v>51.771428571428601</v>
      </c>
    </row>
    <row r="78" spans="1:7" ht="16" x14ac:dyDescent="0.2">
      <c r="A78" s="14">
        <v>43702</v>
      </c>
      <c r="B78" s="51" t="s">
        <v>217</v>
      </c>
      <c r="D78" s="66">
        <v>14.009999999999987</v>
      </c>
      <c r="E78" s="66">
        <v>15.010714285714274</v>
      </c>
      <c r="F78" s="66">
        <v>20.014285714285698</v>
      </c>
      <c r="G78" s="66">
        <v>40.028571428571396</v>
      </c>
    </row>
    <row r="79" spans="1:7" ht="16" x14ac:dyDescent="0.2">
      <c r="A79" s="14">
        <v>43727</v>
      </c>
      <c r="B79" s="51" t="s">
        <v>218</v>
      </c>
      <c r="D79" s="66">
        <v>19.969999999999978</v>
      </c>
      <c r="E79" s="66">
        <v>21.396428571428551</v>
      </c>
      <c r="F79" s="66">
        <v>28.5285714285714</v>
      </c>
      <c r="G79" s="66">
        <v>57.0571428571428</v>
      </c>
    </row>
    <row r="80" spans="1:7" ht="16" x14ac:dyDescent="0.2">
      <c r="A80" s="14">
        <v>43858</v>
      </c>
      <c r="B80" s="51" t="s">
        <v>142</v>
      </c>
      <c r="D80" s="66">
        <v>9.911999999999999</v>
      </c>
      <c r="E80" s="66">
        <v>10.620000000000001</v>
      </c>
      <c r="F80" s="66">
        <v>14.16</v>
      </c>
      <c r="G80" s="66">
        <v>30.09</v>
      </c>
    </row>
    <row r="81" spans="1:7" ht="16" x14ac:dyDescent="0.2">
      <c r="A81" s="14">
        <v>43862</v>
      </c>
      <c r="B81" s="51" t="s">
        <v>143</v>
      </c>
      <c r="D81" s="66">
        <v>13.664</v>
      </c>
      <c r="E81" s="66">
        <v>14.64</v>
      </c>
      <c r="F81" s="66">
        <v>19.52</v>
      </c>
      <c r="G81" s="66">
        <v>41.48</v>
      </c>
    </row>
    <row r="82" spans="1:7" ht="16" x14ac:dyDescent="0.2">
      <c r="A82" s="14">
        <v>43900</v>
      </c>
      <c r="B82" s="51" t="s">
        <v>141</v>
      </c>
      <c r="D82" s="66">
        <v>35.448</v>
      </c>
      <c r="E82" s="66">
        <v>37.980000000000004</v>
      </c>
      <c r="F82" s="66">
        <v>50.64</v>
      </c>
      <c r="G82" s="66">
        <v>107.61</v>
      </c>
    </row>
    <row r="83" spans="1:7" ht="16" x14ac:dyDescent="0.2">
      <c r="A83" s="14">
        <v>44020</v>
      </c>
      <c r="B83" s="51" t="s">
        <v>225</v>
      </c>
      <c r="D83" s="66">
        <v>11.968000000000016</v>
      </c>
      <c r="E83" s="66">
        <v>12.82285714285716</v>
      </c>
      <c r="F83" s="66">
        <v>17.097142857142881</v>
      </c>
      <c r="G83" s="66">
        <v>36.331428571428624</v>
      </c>
    </row>
    <row r="84" spans="1:7" ht="16" x14ac:dyDescent="0.2">
      <c r="A84" s="14">
        <v>44060</v>
      </c>
      <c r="B84" s="51" t="s">
        <v>226</v>
      </c>
      <c r="D84" s="66">
        <v>14.592000000000022</v>
      </c>
      <c r="E84" s="66">
        <v>15.634285714285738</v>
      </c>
      <c r="F84" s="66">
        <v>20.845714285714319</v>
      </c>
      <c r="G84" s="66">
        <v>44.29714285714293</v>
      </c>
    </row>
    <row r="85" spans="1:7" ht="16" x14ac:dyDescent="0.2">
      <c r="A85" s="14">
        <v>44539</v>
      </c>
      <c r="B85" s="51" t="s">
        <v>227</v>
      </c>
      <c r="D85" s="66">
        <v>7.8959999999999999</v>
      </c>
      <c r="E85" s="66">
        <v>8.4600000000000009</v>
      </c>
      <c r="F85" s="66">
        <v>11.280000000000001</v>
      </c>
      <c r="G85" s="66">
        <v>23.970000000000002</v>
      </c>
    </row>
    <row r="86" spans="1:7" ht="16" x14ac:dyDescent="0.2">
      <c r="A86" s="14">
        <v>44541</v>
      </c>
      <c r="B86" s="51" t="s">
        <v>228</v>
      </c>
      <c r="D86" s="66">
        <v>8.2880000000000003</v>
      </c>
      <c r="E86" s="66">
        <v>8.879999999999999</v>
      </c>
      <c r="F86" s="66">
        <v>11.84</v>
      </c>
      <c r="G86" s="66">
        <v>25.16</v>
      </c>
    </row>
    <row r="87" spans="1:7" ht="16" x14ac:dyDescent="0.2">
      <c r="A87" s="14">
        <v>44543</v>
      </c>
      <c r="B87" s="51" t="s">
        <v>229</v>
      </c>
      <c r="D87" s="66">
        <v>10.191999999999998</v>
      </c>
      <c r="E87" s="66">
        <v>10.919999999999998</v>
      </c>
      <c r="F87" s="66">
        <v>14.559999999999999</v>
      </c>
      <c r="G87" s="66">
        <v>30.939999999999998</v>
      </c>
    </row>
    <row r="88" spans="1:7" ht="16" x14ac:dyDescent="0.2">
      <c r="A88" s="14">
        <v>44697</v>
      </c>
      <c r="B88" s="51" t="s">
        <v>144</v>
      </c>
      <c r="D88" s="66">
        <v>11.144</v>
      </c>
      <c r="E88" s="66">
        <v>11.940000000000001</v>
      </c>
      <c r="F88" s="66">
        <v>15.920000000000002</v>
      </c>
      <c r="G88" s="66">
        <v>33.830000000000005</v>
      </c>
    </row>
    <row r="89" spans="1:7" ht="16" x14ac:dyDescent="0.2">
      <c r="A89" s="14">
        <v>44701</v>
      </c>
      <c r="B89" s="51" t="s">
        <v>152</v>
      </c>
      <c r="D89" s="66">
        <v>16.184000000000001</v>
      </c>
      <c r="E89" s="66">
        <v>17.34</v>
      </c>
      <c r="F89" s="66">
        <v>23.12</v>
      </c>
      <c r="G89" s="66">
        <v>49.13</v>
      </c>
    </row>
    <row r="90" spans="1:7" ht="16" x14ac:dyDescent="0.2">
      <c r="A90" s="14">
        <v>44881</v>
      </c>
      <c r="B90" s="69" t="s">
        <v>81</v>
      </c>
      <c r="D90" s="66">
        <v>19.375999999999998</v>
      </c>
      <c r="E90" s="66">
        <v>20.759999999999998</v>
      </c>
      <c r="F90" s="66">
        <v>27.68</v>
      </c>
      <c r="G90" s="66">
        <v>58.82</v>
      </c>
    </row>
    <row r="91" spans="1:7" ht="16" x14ac:dyDescent="0.2">
      <c r="A91" s="14">
        <v>44883</v>
      </c>
      <c r="B91" s="69" t="s">
        <v>235</v>
      </c>
      <c r="D91" s="66">
        <v>26.319999999999993</v>
      </c>
      <c r="E91" s="66">
        <v>28.199999999999996</v>
      </c>
      <c r="F91" s="66">
        <v>37.599999999999994</v>
      </c>
      <c r="G91" s="66">
        <v>79.899999999999991</v>
      </c>
    </row>
    <row r="92" spans="1:7" ht="16" x14ac:dyDescent="0.2">
      <c r="A92" s="14">
        <v>44888</v>
      </c>
      <c r="B92" s="69" t="s">
        <v>82</v>
      </c>
      <c r="D92" s="66">
        <v>32.423999999999999</v>
      </c>
      <c r="E92" s="66">
        <v>34.74</v>
      </c>
      <c r="F92" s="66">
        <v>46.32</v>
      </c>
      <c r="G92" s="66">
        <v>98.43</v>
      </c>
    </row>
    <row r="93" spans="1:7" ht="16" x14ac:dyDescent="0.2">
      <c r="A93" s="14">
        <v>44890</v>
      </c>
      <c r="B93" s="57" t="s">
        <v>83</v>
      </c>
      <c r="D93" s="66">
        <v>35.335999999999999</v>
      </c>
      <c r="E93" s="66">
        <v>37.86</v>
      </c>
      <c r="F93" s="66">
        <v>50.48</v>
      </c>
      <c r="G93" s="66">
        <v>107.27</v>
      </c>
    </row>
    <row r="94" spans="1:7" ht="16" x14ac:dyDescent="0.2">
      <c r="A94" s="14">
        <v>51189</v>
      </c>
      <c r="B94" s="21" t="s">
        <v>84</v>
      </c>
      <c r="D94" s="66">
        <v>13.019999999999998</v>
      </c>
      <c r="E94" s="66">
        <v>13.95</v>
      </c>
      <c r="F94" s="66">
        <v>18.599999999999998</v>
      </c>
      <c r="G94" s="66">
        <v>37.199999999999996</v>
      </c>
    </row>
    <row r="95" spans="1:7" ht="16" x14ac:dyDescent="0.2">
      <c r="A95" s="14">
        <v>51200</v>
      </c>
      <c r="B95" s="21" t="s">
        <v>85</v>
      </c>
      <c r="D95" s="66">
        <v>14.139999999999999</v>
      </c>
      <c r="E95" s="66">
        <v>15.149999999999999</v>
      </c>
      <c r="F95" s="66">
        <v>20.2</v>
      </c>
      <c r="G95" s="66">
        <v>40.4</v>
      </c>
    </row>
    <row r="96" spans="1:7" ht="16" x14ac:dyDescent="0.2">
      <c r="A96" s="14">
        <v>51220</v>
      </c>
      <c r="B96" s="21" t="s">
        <v>86</v>
      </c>
      <c r="D96" s="66">
        <v>16.73</v>
      </c>
      <c r="E96" s="66">
        <v>17.925000000000001</v>
      </c>
      <c r="F96" s="66">
        <v>23.900000000000002</v>
      </c>
      <c r="G96" s="66">
        <v>47.800000000000004</v>
      </c>
    </row>
    <row r="97" spans="1:7" ht="16" x14ac:dyDescent="0.2">
      <c r="A97" s="14">
        <v>52287</v>
      </c>
      <c r="B97" s="21" t="s">
        <v>87</v>
      </c>
      <c r="D97" s="66">
        <v>13.019999999999998</v>
      </c>
      <c r="E97" s="66">
        <v>13.95</v>
      </c>
      <c r="F97" s="66">
        <v>18.599999999999998</v>
      </c>
      <c r="G97" s="66">
        <v>37.199999999999996</v>
      </c>
    </row>
    <row r="98" spans="1:7" ht="16" x14ac:dyDescent="0.2">
      <c r="A98" s="14">
        <v>52300</v>
      </c>
      <c r="B98" s="21" t="s">
        <v>88</v>
      </c>
      <c r="D98" s="66">
        <v>14.139999999999999</v>
      </c>
      <c r="E98" s="66">
        <v>15.149999999999999</v>
      </c>
      <c r="F98" s="66">
        <v>20.2</v>
      </c>
      <c r="G98" s="66">
        <v>40.4</v>
      </c>
    </row>
    <row r="99" spans="1:7" ht="16" x14ac:dyDescent="0.2">
      <c r="A99" s="14">
        <v>52320</v>
      </c>
      <c r="B99" s="21" t="s">
        <v>89</v>
      </c>
      <c r="D99" s="66">
        <v>16.73</v>
      </c>
      <c r="E99" s="66">
        <v>17.925000000000001</v>
      </c>
      <c r="F99" s="66">
        <v>23.900000000000002</v>
      </c>
      <c r="G99" s="66">
        <v>47.800000000000004</v>
      </c>
    </row>
    <row r="100" spans="1:7" ht="16" x14ac:dyDescent="0.2">
      <c r="A100" s="14">
        <v>52387</v>
      </c>
      <c r="B100" s="21" t="s">
        <v>236</v>
      </c>
      <c r="D100" s="66">
        <v>15.47</v>
      </c>
      <c r="E100" s="66">
        <v>16.575000000000003</v>
      </c>
      <c r="F100" s="66">
        <v>22.1</v>
      </c>
      <c r="G100" s="66">
        <v>44.2</v>
      </c>
    </row>
    <row r="101" spans="1:7" ht="16" x14ac:dyDescent="0.2">
      <c r="A101" s="14">
        <v>52390</v>
      </c>
      <c r="B101" s="21" t="s">
        <v>90</v>
      </c>
      <c r="D101" s="66">
        <v>14.98</v>
      </c>
      <c r="E101" s="66">
        <v>16.05</v>
      </c>
      <c r="F101" s="66">
        <v>21.400000000000002</v>
      </c>
      <c r="G101" s="66">
        <v>42.800000000000004</v>
      </c>
    </row>
    <row r="102" spans="1:7" ht="16" x14ac:dyDescent="0.2">
      <c r="A102" s="14">
        <v>52395</v>
      </c>
      <c r="B102" s="58" t="s">
        <v>91</v>
      </c>
      <c r="D102" s="66">
        <v>17.22</v>
      </c>
      <c r="E102" s="66">
        <v>18.450000000000003</v>
      </c>
      <c r="F102" s="66">
        <v>24.6</v>
      </c>
      <c r="G102" s="66">
        <v>49.2</v>
      </c>
    </row>
    <row r="103" spans="1:7" ht="16" x14ac:dyDescent="0.2">
      <c r="A103" s="14">
        <v>52397</v>
      </c>
      <c r="B103" s="21" t="s">
        <v>92</v>
      </c>
      <c r="D103" s="66">
        <v>21.63</v>
      </c>
      <c r="E103" s="66">
        <v>23.175000000000001</v>
      </c>
      <c r="F103" s="66">
        <v>30.900000000000002</v>
      </c>
      <c r="G103" s="66">
        <v>61.800000000000004</v>
      </c>
    </row>
    <row r="104" spans="1:7" ht="16" x14ac:dyDescent="0.2">
      <c r="A104" s="14">
        <v>52490</v>
      </c>
      <c r="B104" s="21" t="s">
        <v>239</v>
      </c>
      <c r="D104" s="66">
        <v>13.930000000000001</v>
      </c>
      <c r="E104" s="66">
        <v>14.925000000000001</v>
      </c>
      <c r="F104" s="66">
        <v>19.900000000000002</v>
      </c>
      <c r="G104" s="66">
        <v>39.800000000000004</v>
      </c>
    </row>
    <row r="105" spans="1:7" ht="16" x14ac:dyDescent="0.2">
      <c r="A105" s="14">
        <v>52498</v>
      </c>
      <c r="B105" s="21" t="s">
        <v>93</v>
      </c>
      <c r="D105" s="66">
        <v>13.86</v>
      </c>
      <c r="E105" s="66">
        <v>14.850000000000001</v>
      </c>
      <c r="F105" s="66">
        <v>19.8</v>
      </c>
      <c r="G105" s="66">
        <v>39.6</v>
      </c>
    </row>
    <row r="106" spans="1:7" ht="16" x14ac:dyDescent="0.2">
      <c r="A106" s="14">
        <v>52500</v>
      </c>
      <c r="B106" s="58" t="s">
        <v>94</v>
      </c>
      <c r="D106" s="66">
        <v>15.61</v>
      </c>
      <c r="E106" s="66">
        <v>16.725000000000001</v>
      </c>
      <c r="F106" s="66">
        <v>22.3</v>
      </c>
      <c r="G106" s="66">
        <v>44.6</v>
      </c>
    </row>
    <row r="107" spans="1:7" ht="16" x14ac:dyDescent="0.2">
      <c r="A107" s="14">
        <v>52540</v>
      </c>
      <c r="B107" s="21" t="s">
        <v>95</v>
      </c>
      <c r="D107" s="66">
        <v>19.809999999999999</v>
      </c>
      <c r="E107" s="66">
        <v>21.225000000000001</v>
      </c>
      <c r="F107" s="66">
        <v>28.3</v>
      </c>
      <c r="G107" s="66">
        <v>56.6</v>
      </c>
    </row>
    <row r="108" spans="1:7" ht="16" x14ac:dyDescent="0.2">
      <c r="A108" s="14">
        <v>52598</v>
      </c>
      <c r="B108" s="21" t="s">
        <v>96</v>
      </c>
      <c r="D108" s="66">
        <v>14.909999999999997</v>
      </c>
      <c r="E108" s="66">
        <v>15.974999999999998</v>
      </c>
      <c r="F108" s="66">
        <v>21.299999999999997</v>
      </c>
      <c r="G108" s="66">
        <v>42.599999999999994</v>
      </c>
    </row>
    <row r="109" spans="1:7" ht="16" x14ac:dyDescent="0.2">
      <c r="A109" s="14">
        <v>52600</v>
      </c>
      <c r="B109" s="21" t="s">
        <v>97</v>
      </c>
      <c r="D109" s="66">
        <v>16.45</v>
      </c>
      <c r="E109" s="66">
        <v>17.625</v>
      </c>
      <c r="F109" s="66">
        <v>23.5</v>
      </c>
      <c r="G109" s="66">
        <v>47</v>
      </c>
    </row>
    <row r="110" spans="1:7" ht="16" x14ac:dyDescent="0.2">
      <c r="A110" s="14">
        <v>52687</v>
      </c>
      <c r="B110" s="21" t="s">
        <v>104</v>
      </c>
      <c r="D110" s="66">
        <v>9.870000000000001</v>
      </c>
      <c r="E110" s="66">
        <v>10.575000000000001</v>
      </c>
      <c r="F110" s="66">
        <v>14.100000000000001</v>
      </c>
      <c r="G110" s="66">
        <v>28.200000000000003</v>
      </c>
    </row>
    <row r="111" spans="1:7" ht="16" x14ac:dyDescent="0.2">
      <c r="A111" s="14">
        <v>52693</v>
      </c>
      <c r="B111" s="21" t="s">
        <v>103</v>
      </c>
      <c r="D111" s="66">
        <v>10.569999999999999</v>
      </c>
      <c r="E111" s="66">
        <v>11.324999999999999</v>
      </c>
      <c r="F111" s="66">
        <v>15.1</v>
      </c>
      <c r="G111" s="66">
        <v>30.2</v>
      </c>
    </row>
    <row r="112" spans="1:7" ht="16" x14ac:dyDescent="0.2">
      <c r="A112" s="14">
        <v>52694</v>
      </c>
      <c r="B112" s="42" t="s">
        <v>224</v>
      </c>
      <c r="D112" s="66">
        <v>8.0499999999999989</v>
      </c>
      <c r="E112" s="66">
        <v>8.625</v>
      </c>
      <c r="F112" s="66">
        <v>11.5</v>
      </c>
      <c r="G112" s="66">
        <v>23</v>
      </c>
    </row>
    <row r="113" spans="1:7" ht="16" x14ac:dyDescent="0.2">
      <c r="A113" s="14">
        <v>52695</v>
      </c>
      <c r="B113" s="41" t="s">
        <v>105</v>
      </c>
      <c r="D113" s="66">
        <v>11.27</v>
      </c>
      <c r="E113" s="66">
        <v>12.075000000000001</v>
      </c>
      <c r="F113" s="66">
        <v>16.100000000000001</v>
      </c>
      <c r="G113" s="66">
        <v>32.200000000000003</v>
      </c>
    </row>
    <row r="114" spans="1:7" ht="16" x14ac:dyDescent="0.2">
      <c r="A114" s="3">
        <v>52697</v>
      </c>
      <c r="B114" s="53" t="s">
        <v>106</v>
      </c>
      <c r="D114" s="66">
        <v>8.6800000000000015</v>
      </c>
      <c r="E114" s="66">
        <v>9.3000000000000007</v>
      </c>
      <c r="F114" s="66">
        <v>12.400000000000002</v>
      </c>
      <c r="G114" s="66">
        <v>24.800000000000004</v>
      </c>
    </row>
    <row r="115" spans="1:7" ht="16" x14ac:dyDescent="0.2">
      <c r="A115" s="14">
        <v>52700</v>
      </c>
      <c r="B115" s="42" t="s">
        <v>107</v>
      </c>
      <c r="D115" s="66">
        <v>12.879999999999999</v>
      </c>
      <c r="E115" s="66">
        <v>13.799999999999999</v>
      </c>
      <c r="F115" s="66">
        <v>18.399999999999999</v>
      </c>
      <c r="G115" s="66">
        <v>36.799999999999997</v>
      </c>
    </row>
    <row r="116" spans="1:7" ht="16" x14ac:dyDescent="0.2">
      <c r="A116" s="3">
        <v>52782</v>
      </c>
      <c r="B116" s="42" t="s">
        <v>175</v>
      </c>
      <c r="D116" s="66">
        <v>10.290000000000001</v>
      </c>
      <c r="E116" s="66">
        <v>11.025000000000002</v>
      </c>
      <c r="F116" s="66">
        <v>14.700000000000003</v>
      </c>
      <c r="G116" s="66">
        <v>29.400000000000006</v>
      </c>
    </row>
    <row r="117" spans="1:7" ht="16" x14ac:dyDescent="0.2">
      <c r="A117" s="14">
        <v>52793</v>
      </c>
      <c r="B117" s="42" t="s">
        <v>176</v>
      </c>
      <c r="D117" s="66">
        <v>13.23</v>
      </c>
      <c r="E117" s="66">
        <v>14.175000000000001</v>
      </c>
      <c r="F117" s="66">
        <v>18.900000000000002</v>
      </c>
      <c r="G117" s="66">
        <v>37.800000000000004</v>
      </c>
    </row>
    <row r="118" spans="1:7" ht="16" x14ac:dyDescent="0.2">
      <c r="A118" s="14">
        <v>52795</v>
      </c>
      <c r="B118" s="51" t="s">
        <v>177</v>
      </c>
      <c r="D118" s="66">
        <v>7.91</v>
      </c>
      <c r="E118" s="66">
        <v>8.4750000000000014</v>
      </c>
      <c r="F118" s="66">
        <v>11.3</v>
      </c>
      <c r="G118" s="66">
        <v>22.6</v>
      </c>
    </row>
    <row r="119" spans="1:7" ht="16" x14ac:dyDescent="0.2">
      <c r="A119" s="14">
        <v>52800</v>
      </c>
      <c r="B119" s="51" t="s">
        <v>178</v>
      </c>
      <c r="D119" s="66">
        <v>16.799999999999997</v>
      </c>
      <c r="E119" s="66">
        <v>18</v>
      </c>
      <c r="F119" s="66">
        <v>24</v>
      </c>
      <c r="G119" s="66">
        <v>48</v>
      </c>
    </row>
    <row r="120" spans="1:7" ht="16" x14ac:dyDescent="0.2">
      <c r="A120" s="6">
        <v>52830</v>
      </c>
      <c r="B120" s="53" t="s">
        <v>179</v>
      </c>
      <c r="D120" s="66">
        <v>18.269999999999996</v>
      </c>
      <c r="E120" s="66">
        <v>19.574999999999999</v>
      </c>
      <c r="F120" s="66">
        <v>26.099999999999998</v>
      </c>
      <c r="G120" s="66">
        <v>52.199999999999996</v>
      </c>
    </row>
    <row r="121" spans="1:7" ht="16" x14ac:dyDescent="0.2">
      <c r="A121" s="14">
        <v>52892</v>
      </c>
      <c r="B121" s="53" t="s">
        <v>240</v>
      </c>
      <c r="D121" s="66">
        <v>16.239999999999998</v>
      </c>
      <c r="E121" s="66">
        <v>17.399999999999999</v>
      </c>
      <c r="F121" s="66">
        <v>23.2</v>
      </c>
      <c r="G121" s="66">
        <v>46.4</v>
      </c>
    </row>
    <row r="122" spans="1:7" ht="16" x14ac:dyDescent="0.2">
      <c r="A122" s="14">
        <v>52900</v>
      </c>
      <c r="B122" s="53" t="s">
        <v>173</v>
      </c>
      <c r="D122" s="66">
        <v>17.579999999999991</v>
      </c>
      <c r="E122" s="66">
        <v>18.835714285714278</v>
      </c>
      <c r="F122" s="66">
        <v>25.114285714285703</v>
      </c>
      <c r="G122" s="66">
        <v>50.228571428571406</v>
      </c>
    </row>
    <row r="123" spans="1:7" ht="16" x14ac:dyDescent="0.2">
      <c r="A123" s="14">
        <v>52925</v>
      </c>
      <c r="B123" s="57" t="s">
        <v>174</v>
      </c>
      <c r="D123" s="66">
        <v>18.859999999999967</v>
      </c>
      <c r="E123" s="66">
        <v>20.207142857142827</v>
      </c>
      <c r="F123" s="66">
        <v>26.9428571428571</v>
      </c>
      <c r="G123" s="66">
        <v>53.885714285714201</v>
      </c>
    </row>
    <row r="124" spans="1:7" ht="16" x14ac:dyDescent="0.2">
      <c r="A124" s="14">
        <v>52986</v>
      </c>
      <c r="B124" s="51" t="s">
        <v>180</v>
      </c>
      <c r="D124" s="66">
        <v>7.91</v>
      </c>
      <c r="E124" s="66">
        <v>8.4750000000000014</v>
      </c>
      <c r="F124" s="66">
        <v>11.3</v>
      </c>
      <c r="G124" s="66">
        <v>22.6</v>
      </c>
    </row>
    <row r="125" spans="1:7" ht="16" x14ac:dyDescent="0.2">
      <c r="A125" s="14">
        <v>53100</v>
      </c>
      <c r="B125" s="51" t="s">
        <v>181</v>
      </c>
      <c r="D125" s="66">
        <v>10.96</v>
      </c>
      <c r="E125" s="66">
        <v>11.742857142857146</v>
      </c>
      <c r="F125" s="66">
        <v>15.65714285714286</v>
      </c>
      <c r="G125" s="66">
        <v>31.31428571428572</v>
      </c>
    </row>
    <row r="126" spans="1:7" ht="16" x14ac:dyDescent="0.2">
      <c r="A126" s="6">
        <v>53115</v>
      </c>
      <c r="B126" s="51" t="s">
        <v>182</v>
      </c>
      <c r="D126" s="66">
        <v>10.859999999999998</v>
      </c>
      <c r="E126" s="66">
        <v>11.635714285714284</v>
      </c>
      <c r="F126" s="66">
        <v>15.514285714285712</v>
      </c>
      <c r="G126" s="66">
        <v>31.028571428571425</v>
      </c>
    </row>
    <row r="127" spans="1:7" ht="16" x14ac:dyDescent="0.2">
      <c r="A127" s="14">
        <v>53117</v>
      </c>
      <c r="B127" s="51" t="s">
        <v>183</v>
      </c>
      <c r="D127" s="66">
        <v>10.36</v>
      </c>
      <c r="E127" s="66">
        <v>11.100000000000001</v>
      </c>
      <c r="F127" s="66">
        <v>14.8</v>
      </c>
      <c r="G127" s="66">
        <v>29.6</v>
      </c>
    </row>
    <row r="128" spans="1:7" ht="16" x14ac:dyDescent="0.2">
      <c r="A128" s="14">
        <v>53187</v>
      </c>
      <c r="B128" s="51" t="s">
        <v>195</v>
      </c>
      <c r="D128" s="66">
        <v>11.69</v>
      </c>
      <c r="E128" s="66">
        <v>12.524999999999999</v>
      </c>
      <c r="F128" s="66">
        <v>16.7</v>
      </c>
      <c r="G128" s="66">
        <v>33.4</v>
      </c>
    </row>
    <row r="129" spans="1:7" ht="16" x14ac:dyDescent="0.2">
      <c r="A129" s="14">
        <v>53195</v>
      </c>
      <c r="B129" s="51" t="s">
        <v>196</v>
      </c>
      <c r="D129" s="66">
        <v>17.639999999999997</v>
      </c>
      <c r="E129" s="66">
        <v>18.899999999999999</v>
      </c>
      <c r="F129" s="66">
        <v>25.2</v>
      </c>
      <c r="G129" s="66">
        <v>50.4</v>
      </c>
    </row>
    <row r="130" spans="1:7" ht="16" x14ac:dyDescent="0.2">
      <c r="A130" s="14">
        <v>53198</v>
      </c>
      <c r="B130" s="51" t="s">
        <v>197</v>
      </c>
      <c r="D130" s="66">
        <v>11.48</v>
      </c>
      <c r="E130" s="66">
        <v>12.3</v>
      </c>
      <c r="F130" s="66">
        <v>16.400000000000002</v>
      </c>
      <c r="G130" s="66">
        <v>32.800000000000004</v>
      </c>
    </row>
    <row r="131" spans="1:7" ht="16" x14ac:dyDescent="0.2">
      <c r="A131" s="14">
        <v>53200</v>
      </c>
      <c r="B131" s="51" t="s">
        <v>198</v>
      </c>
      <c r="D131" s="66">
        <v>19.95</v>
      </c>
      <c r="E131" s="66">
        <v>21.375</v>
      </c>
      <c r="F131" s="66">
        <v>28.5</v>
      </c>
      <c r="G131" s="66">
        <v>57</v>
      </c>
    </row>
    <row r="132" spans="1:7" ht="16" x14ac:dyDescent="0.2">
      <c r="A132" s="6">
        <v>53372</v>
      </c>
      <c r="B132" s="51" t="s">
        <v>199</v>
      </c>
      <c r="D132" s="66">
        <v>12.739999999999998</v>
      </c>
      <c r="E132" s="66">
        <v>13.649999999999999</v>
      </c>
      <c r="F132" s="66">
        <v>18.2</v>
      </c>
      <c r="G132" s="66">
        <v>36.4</v>
      </c>
    </row>
    <row r="133" spans="1:7" ht="16" x14ac:dyDescent="0.2">
      <c r="A133" s="14">
        <v>53374</v>
      </c>
      <c r="B133" s="51" t="s">
        <v>200</v>
      </c>
      <c r="D133" s="66">
        <v>12.879999999999999</v>
      </c>
      <c r="E133" s="66">
        <v>13.799999999999999</v>
      </c>
      <c r="F133" s="66">
        <v>18.399999999999999</v>
      </c>
      <c r="G133" s="66">
        <v>36.799999999999997</v>
      </c>
    </row>
    <row r="134" spans="1:7" ht="16" x14ac:dyDescent="0.2">
      <c r="A134" s="14">
        <v>53390</v>
      </c>
      <c r="B134" s="53" t="s">
        <v>201</v>
      </c>
      <c r="D134" s="66">
        <v>15.329999999999998</v>
      </c>
      <c r="E134" s="66">
        <v>16.424999999999997</v>
      </c>
      <c r="F134" s="66">
        <v>21.9</v>
      </c>
      <c r="G134" s="66">
        <v>43.8</v>
      </c>
    </row>
    <row r="135" spans="1:7" ht="16" x14ac:dyDescent="0.2">
      <c r="A135" s="14">
        <v>53400</v>
      </c>
      <c r="B135" s="53" t="s">
        <v>202</v>
      </c>
      <c r="D135" s="66">
        <v>18.899999999999999</v>
      </c>
      <c r="E135" s="66">
        <v>20.25</v>
      </c>
      <c r="F135" s="66">
        <v>27</v>
      </c>
      <c r="G135" s="66">
        <v>54</v>
      </c>
    </row>
    <row r="136" spans="1:7" ht="16" x14ac:dyDescent="0.2">
      <c r="A136" s="14">
        <v>53488</v>
      </c>
      <c r="B136" s="53" t="s">
        <v>209</v>
      </c>
      <c r="D136" s="66">
        <v>11.69</v>
      </c>
      <c r="E136" s="66">
        <v>12.524999999999999</v>
      </c>
      <c r="F136" s="66">
        <v>16.7</v>
      </c>
      <c r="G136" s="66">
        <v>33.4</v>
      </c>
    </row>
    <row r="137" spans="1:7" ht="16" x14ac:dyDescent="0.2">
      <c r="A137" s="14">
        <v>53493</v>
      </c>
      <c r="B137" s="53" t="s">
        <v>210</v>
      </c>
      <c r="D137" s="66">
        <v>12.529999999999998</v>
      </c>
      <c r="E137" s="66">
        <v>13.424999999999999</v>
      </c>
      <c r="F137" s="66">
        <v>17.899999999999999</v>
      </c>
      <c r="G137" s="66">
        <v>35.799999999999997</v>
      </c>
    </row>
    <row r="138" spans="1:7" ht="16" x14ac:dyDescent="0.2">
      <c r="A138" s="14">
        <v>53540</v>
      </c>
      <c r="B138" s="53" t="s">
        <v>153</v>
      </c>
      <c r="D138" s="66">
        <v>13.930000000000001</v>
      </c>
      <c r="E138" s="66">
        <v>14.925000000000001</v>
      </c>
      <c r="F138" s="66">
        <v>19.900000000000002</v>
      </c>
      <c r="G138" s="66">
        <v>39.800000000000004</v>
      </c>
    </row>
    <row r="139" spans="1:7" ht="16" x14ac:dyDescent="0.2">
      <c r="A139" s="14">
        <v>53588</v>
      </c>
      <c r="B139" s="53" t="s">
        <v>211</v>
      </c>
      <c r="D139" s="66">
        <v>14.7</v>
      </c>
      <c r="E139" s="66">
        <v>15.75</v>
      </c>
      <c r="F139" s="66">
        <v>21</v>
      </c>
      <c r="G139" s="66">
        <v>42</v>
      </c>
    </row>
    <row r="140" spans="1:7" ht="16" x14ac:dyDescent="0.2">
      <c r="A140" s="14">
        <v>53596</v>
      </c>
      <c r="B140" s="53" t="s">
        <v>212</v>
      </c>
      <c r="D140" s="66">
        <v>15.82</v>
      </c>
      <c r="E140" s="66">
        <v>16.950000000000003</v>
      </c>
      <c r="F140" s="66">
        <v>22.6</v>
      </c>
      <c r="G140" s="66">
        <v>45.2</v>
      </c>
    </row>
    <row r="141" spans="1:7" ht="16" x14ac:dyDescent="0.2">
      <c r="A141" s="14">
        <v>53616</v>
      </c>
      <c r="B141" s="53" t="s">
        <v>213</v>
      </c>
      <c r="D141" s="66">
        <v>10.369999999999997</v>
      </c>
      <c r="E141" s="66">
        <v>11.110714285714284</v>
      </c>
      <c r="F141" s="66">
        <v>14.814285714285711</v>
      </c>
      <c r="G141" s="66">
        <v>29.628571428571423</v>
      </c>
    </row>
    <row r="142" spans="1:7" ht="16" x14ac:dyDescent="0.2">
      <c r="A142" s="14">
        <v>53620</v>
      </c>
      <c r="B142" s="53" t="s">
        <v>214</v>
      </c>
      <c r="D142" s="66">
        <v>10.5</v>
      </c>
      <c r="E142" s="66">
        <v>11.25</v>
      </c>
      <c r="F142" s="66">
        <v>15</v>
      </c>
      <c r="G142" s="66">
        <v>30</v>
      </c>
    </row>
    <row r="143" spans="1:7" ht="16" x14ac:dyDescent="0.2">
      <c r="A143" s="14">
        <v>53702</v>
      </c>
      <c r="B143" s="51" t="s">
        <v>215</v>
      </c>
      <c r="D143" s="66">
        <v>10.290000000000001</v>
      </c>
      <c r="E143" s="66">
        <v>11.025000000000002</v>
      </c>
      <c r="F143" s="66">
        <v>14.700000000000003</v>
      </c>
      <c r="G143" s="66">
        <v>29.400000000000006</v>
      </c>
    </row>
    <row r="144" spans="1:7" ht="16" x14ac:dyDescent="0.2">
      <c r="A144" s="14">
        <v>53727</v>
      </c>
      <c r="B144" s="51" t="s">
        <v>216</v>
      </c>
      <c r="D144" s="66">
        <v>12.679999999999989</v>
      </c>
      <c r="E144" s="66">
        <v>13.585714285714275</v>
      </c>
      <c r="F144" s="66">
        <v>18.1142857142857</v>
      </c>
      <c r="G144" s="66">
        <v>36.228571428571399</v>
      </c>
    </row>
    <row r="145" spans="1:7" ht="16" x14ac:dyDescent="0.2">
      <c r="A145" s="14">
        <v>53859</v>
      </c>
      <c r="B145" s="51" t="s">
        <v>149</v>
      </c>
      <c r="D145" s="66">
        <v>10.36</v>
      </c>
      <c r="E145" s="66">
        <v>11.100000000000001</v>
      </c>
      <c r="F145" s="66">
        <v>14.8</v>
      </c>
      <c r="G145" s="66">
        <v>29.6</v>
      </c>
    </row>
    <row r="146" spans="1:7" ht="16" x14ac:dyDescent="0.2">
      <c r="A146" s="14">
        <v>53900</v>
      </c>
      <c r="B146" s="51" t="s">
        <v>148</v>
      </c>
      <c r="D146" s="66">
        <v>16.87</v>
      </c>
      <c r="E146" s="66">
        <v>18.075000000000003</v>
      </c>
      <c r="F146" s="66">
        <v>24.1</v>
      </c>
      <c r="G146" s="66">
        <v>48.2</v>
      </c>
    </row>
    <row r="147" spans="1:7" ht="16" x14ac:dyDescent="0.2">
      <c r="A147" s="14">
        <v>54020</v>
      </c>
      <c r="B147" s="51" t="s">
        <v>230</v>
      </c>
      <c r="D147" s="66">
        <v>11.66</v>
      </c>
      <c r="E147" s="66">
        <v>12.492857142857144</v>
      </c>
      <c r="F147" s="66">
        <v>16.657142857142858</v>
      </c>
      <c r="G147" s="66">
        <v>33.314285714285717</v>
      </c>
    </row>
    <row r="148" spans="1:7" ht="16" x14ac:dyDescent="0.2">
      <c r="A148" s="14">
        <v>54060</v>
      </c>
      <c r="B148" s="51" t="s">
        <v>231</v>
      </c>
      <c r="D148" s="66">
        <v>11.66</v>
      </c>
      <c r="E148" s="66">
        <v>12.492857142857144</v>
      </c>
      <c r="F148" s="66">
        <v>16.657142857142858</v>
      </c>
      <c r="G148" s="66">
        <v>33.314285714285717</v>
      </c>
    </row>
    <row r="149" spans="1:7" ht="16" x14ac:dyDescent="0.2">
      <c r="A149" s="14">
        <v>54202</v>
      </c>
      <c r="B149" s="51" t="s">
        <v>232</v>
      </c>
      <c r="D149" s="66">
        <v>11.01</v>
      </c>
      <c r="E149" s="66">
        <v>11.796428571428573</v>
      </c>
      <c r="F149" s="66">
        <v>15.72857142857143</v>
      </c>
      <c r="G149" s="66">
        <v>31.457142857142859</v>
      </c>
    </row>
    <row r="150" spans="1:7" ht="16" x14ac:dyDescent="0.2">
      <c r="A150" s="14">
        <v>54206</v>
      </c>
      <c r="B150" s="51" t="s">
        <v>233</v>
      </c>
      <c r="D150" s="66">
        <v>12.160000000000021</v>
      </c>
      <c r="E150" s="66">
        <v>13.028571428571452</v>
      </c>
      <c r="F150" s="66">
        <v>17.371428571428602</v>
      </c>
      <c r="G150" s="66">
        <v>34.742857142857204</v>
      </c>
    </row>
    <row r="151" spans="1:7" ht="16" x14ac:dyDescent="0.2">
      <c r="A151" s="14">
        <v>54539</v>
      </c>
      <c r="B151" s="51" t="s">
        <v>150</v>
      </c>
      <c r="D151" s="66">
        <v>7.35</v>
      </c>
      <c r="E151" s="66">
        <v>7.875</v>
      </c>
      <c r="F151" s="66">
        <v>10.5</v>
      </c>
      <c r="G151" s="66">
        <v>21</v>
      </c>
    </row>
    <row r="152" spans="1:7" ht="16" x14ac:dyDescent="0.2">
      <c r="A152" s="14">
        <v>54543</v>
      </c>
      <c r="B152" s="51" t="s">
        <v>151</v>
      </c>
      <c r="D152" s="66">
        <v>7.63</v>
      </c>
      <c r="E152" s="66">
        <v>8.1750000000000007</v>
      </c>
      <c r="F152" s="66">
        <v>10.9</v>
      </c>
      <c r="G152" s="66">
        <v>21.8</v>
      </c>
    </row>
    <row r="153" spans="1:7" ht="16" x14ac:dyDescent="0.2">
      <c r="A153" s="14">
        <v>54701</v>
      </c>
      <c r="B153" s="51" t="s">
        <v>146</v>
      </c>
      <c r="D153" s="66">
        <v>13.159999999999997</v>
      </c>
      <c r="E153" s="66">
        <v>14.099999999999998</v>
      </c>
      <c r="F153" s="66">
        <v>18.799999999999997</v>
      </c>
      <c r="G153" s="66">
        <v>37.599999999999994</v>
      </c>
    </row>
    <row r="154" spans="1:7" ht="16" x14ac:dyDescent="0.2">
      <c r="A154" s="14">
        <v>54798</v>
      </c>
      <c r="B154" s="51" t="s">
        <v>237</v>
      </c>
      <c r="D154" s="66">
        <v>10.290000000000001</v>
      </c>
      <c r="E154" s="66">
        <v>11.025000000000002</v>
      </c>
      <c r="F154" s="66">
        <v>14.700000000000003</v>
      </c>
      <c r="G154" s="66">
        <v>29.400000000000006</v>
      </c>
    </row>
    <row r="155" spans="1:7" ht="16" x14ac:dyDescent="0.2">
      <c r="A155" s="14">
        <v>54883</v>
      </c>
      <c r="B155" s="51" t="s">
        <v>238</v>
      </c>
      <c r="D155" s="66">
        <v>15.540000000000001</v>
      </c>
      <c r="E155" s="66">
        <v>16.650000000000002</v>
      </c>
      <c r="F155" s="66">
        <v>22.200000000000003</v>
      </c>
      <c r="G155" s="66">
        <v>44.400000000000006</v>
      </c>
    </row>
    <row r="156" spans="1:7" ht="16" x14ac:dyDescent="0.2">
      <c r="A156" s="14">
        <v>54888</v>
      </c>
      <c r="B156" s="58" t="s">
        <v>98</v>
      </c>
      <c r="D156" s="66">
        <v>18.409999999999997</v>
      </c>
      <c r="E156" s="66">
        <v>19.724999999999998</v>
      </c>
      <c r="F156" s="66">
        <v>26.299999999999997</v>
      </c>
      <c r="G156" s="66">
        <v>52.599999999999994</v>
      </c>
    </row>
    <row r="157" spans="1:7" ht="16" x14ac:dyDescent="0.2">
      <c r="A157" s="14">
        <v>54890</v>
      </c>
      <c r="B157" s="58" t="s">
        <v>99</v>
      </c>
      <c r="D157" s="66">
        <v>23.169999999999998</v>
      </c>
      <c r="E157" s="66">
        <v>24.825000000000003</v>
      </c>
      <c r="F157" s="66">
        <v>33.1</v>
      </c>
      <c r="G157" s="66">
        <v>66.2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894E-E555-E547-A28C-058D5982B168}">
  <dimension ref="A1:G157"/>
  <sheetViews>
    <sheetView workbookViewId="0">
      <selection activeCell="I155" sqref="I155"/>
    </sheetView>
  </sheetViews>
  <sheetFormatPr baseColWidth="10" defaultRowHeight="15" x14ac:dyDescent="0.2"/>
  <cols>
    <col min="2" max="2" width="31.1640625" bestFit="1" customWidth="1"/>
  </cols>
  <sheetData>
    <row r="1" spans="1:7" ht="16" x14ac:dyDescent="0.2">
      <c r="A1" s="9" t="s">
        <v>25</v>
      </c>
      <c r="B1" s="7" t="s">
        <v>26</v>
      </c>
      <c r="D1" s="61" t="s">
        <v>245</v>
      </c>
      <c r="E1" s="72"/>
      <c r="F1" s="61" t="s">
        <v>246</v>
      </c>
      <c r="G1" s="61" t="s">
        <v>56</v>
      </c>
    </row>
    <row r="2" spans="1:7" ht="16" x14ac:dyDescent="0.2">
      <c r="A2" s="43">
        <v>24557</v>
      </c>
      <c r="B2" s="47" t="s">
        <v>123</v>
      </c>
      <c r="D2" s="66">
        <v>20.16</v>
      </c>
      <c r="E2" s="66">
        <v>21.6</v>
      </c>
      <c r="F2" s="66">
        <v>28.800000000000004</v>
      </c>
      <c r="G2" s="66">
        <v>57.600000000000009</v>
      </c>
    </row>
    <row r="3" spans="1:7" ht="16" x14ac:dyDescent="0.2">
      <c r="A3" s="43">
        <v>25221</v>
      </c>
      <c r="B3" s="47" t="s">
        <v>122</v>
      </c>
      <c r="D3" s="66">
        <v>25.059999999999995</v>
      </c>
      <c r="E3" s="66">
        <v>26.849999999999998</v>
      </c>
      <c r="F3" s="66">
        <v>35.799999999999997</v>
      </c>
      <c r="G3" s="66">
        <v>71.599999999999994</v>
      </c>
    </row>
    <row r="4" spans="1:7" ht="16" x14ac:dyDescent="0.2">
      <c r="A4" s="43">
        <v>25339</v>
      </c>
      <c r="B4" s="47" t="s">
        <v>121</v>
      </c>
      <c r="D4" s="66">
        <v>20.86</v>
      </c>
      <c r="E4" s="66">
        <v>22.35</v>
      </c>
      <c r="F4" s="66">
        <v>29.8</v>
      </c>
      <c r="G4" s="66">
        <v>59.6</v>
      </c>
    </row>
    <row r="5" spans="1:7" ht="16" x14ac:dyDescent="0.2">
      <c r="A5" s="43">
        <v>25444</v>
      </c>
      <c r="B5" s="47" t="s">
        <v>120</v>
      </c>
      <c r="D5" s="66">
        <v>21.56</v>
      </c>
      <c r="E5" s="66">
        <v>23.1</v>
      </c>
      <c r="F5" s="66">
        <v>30.8</v>
      </c>
      <c r="G5" s="66">
        <v>61.6</v>
      </c>
    </row>
    <row r="6" spans="1:7" ht="16" x14ac:dyDescent="0.2">
      <c r="A6" s="43">
        <v>25454</v>
      </c>
      <c r="B6" s="48" t="s">
        <v>119</v>
      </c>
      <c r="D6" s="66">
        <v>19.32</v>
      </c>
      <c r="E6" s="66">
        <v>20.700000000000003</v>
      </c>
      <c r="F6" s="66">
        <v>27.6</v>
      </c>
      <c r="G6" s="66">
        <v>55.2</v>
      </c>
    </row>
    <row r="7" spans="1:7" ht="16" x14ac:dyDescent="0.2">
      <c r="A7" s="43">
        <v>25459</v>
      </c>
      <c r="B7" s="49" t="s">
        <v>124</v>
      </c>
      <c r="D7" s="66">
        <v>22.259999999999998</v>
      </c>
      <c r="E7" s="66">
        <v>23.85</v>
      </c>
      <c r="F7" s="66">
        <v>31.8</v>
      </c>
      <c r="G7" s="66">
        <v>63.6</v>
      </c>
    </row>
    <row r="8" spans="1:7" ht="16" x14ac:dyDescent="0.2">
      <c r="A8" s="43">
        <v>25466</v>
      </c>
      <c r="B8" s="48" t="s">
        <v>114</v>
      </c>
      <c r="D8" s="66">
        <v>15.68</v>
      </c>
      <c r="E8" s="66">
        <v>16.8</v>
      </c>
      <c r="F8" s="66">
        <v>22.400000000000002</v>
      </c>
      <c r="G8" s="66">
        <v>44.800000000000004</v>
      </c>
    </row>
    <row r="9" spans="1:7" ht="16" x14ac:dyDescent="0.2">
      <c r="A9" s="43">
        <v>25473</v>
      </c>
      <c r="B9" s="48" t="s">
        <v>111</v>
      </c>
      <c r="D9" s="66">
        <v>22.19</v>
      </c>
      <c r="E9" s="66">
        <v>23.775000000000002</v>
      </c>
      <c r="F9" s="66">
        <v>31.700000000000003</v>
      </c>
      <c r="G9" s="66">
        <v>63.400000000000006</v>
      </c>
    </row>
    <row r="10" spans="1:7" ht="16" x14ac:dyDescent="0.2">
      <c r="A10" s="43">
        <v>25481</v>
      </c>
      <c r="B10" s="48" t="s">
        <v>110</v>
      </c>
      <c r="D10" s="66">
        <v>22.259999999999998</v>
      </c>
      <c r="E10" s="66">
        <v>23.85</v>
      </c>
      <c r="F10" s="66">
        <v>31.8</v>
      </c>
      <c r="G10" s="66">
        <v>63.6</v>
      </c>
    </row>
    <row r="11" spans="1:7" ht="16" x14ac:dyDescent="0.2">
      <c r="A11" s="43">
        <v>26062</v>
      </c>
      <c r="B11" s="48" t="s">
        <v>108</v>
      </c>
      <c r="D11" s="66">
        <v>17.079999999999998</v>
      </c>
      <c r="E11" s="66">
        <v>18.299999999999997</v>
      </c>
      <c r="F11" s="66">
        <v>24.4</v>
      </c>
      <c r="G11" s="66">
        <v>48.8</v>
      </c>
    </row>
    <row r="12" spans="1:7" ht="16" x14ac:dyDescent="0.2">
      <c r="A12" s="43">
        <v>26085</v>
      </c>
      <c r="B12" s="48" t="s">
        <v>118</v>
      </c>
      <c r="D12" s="66">
        <v>22.19</v>
      </c>
      <c r="E12" s="66">
        <v>23.775000000000002</v>
      </c>
      <c r="F12" s="66">
        <v>31.700000000000003</v>
      </c>
      <c r="G12" s="66">
        <v>63.400000000000006</v>
      </c>
    </row>
    <row r="13" spans="1:7" ht="16" x14ac:dyDescent="0.2">
      <c r="A13" s="43">
        <v>26787</v>
      </c>
      <c r="B13" s="48" t="s">
        <v>116</v>
      </c>
      <c r="D13" s="66">
        <v>25.62</v>
      </c>
      <c r="E13" s="66">
        <v>27.450000000000003</v>
      </c>
      <c r="F13" s="66">
        <v>36.6</v>
      </c>
      <c r="G13" s="66">
        <v>73.2</v>
      </c>
    </row>
    <row r="14" spans="1:7" ht="16" x14ac:dyDescent="0.2">
      <c r="A14" s="43">
        <v>26900</v>
      </c>
      <c r="B14" s="48" t="s">
        <v>117</v>
      </c>
      <c r="D14" s="66">
        <v>22.19</v>
      </c>
      <c r="E14" s="66">
        <v>23.775000000000002</v>
      </c>
      <c r="F14" s="66">
        <v>31.700000000000003</v>
      </c>
      <c r="G14" s="66">
        <v>63.400000000000006</v>
      </c>
    </row>
    <row r="15" spans="1:7" ht="16" x14ac:dyDescent="0.2">
      <c r="A15" s="43">
        <v>26930</v>
      </c>
      <c r="B15" s="48" t="s">
        <v>115</v>
      </c>
      <c r="D15" s="66">
        <v>15.68</v>
      </c>
      <c r="E15" s="66">
        <v>16.8</v>
      </c>
      <c r="F15" s="66">
        <v>22.400000000000002</v>
      </c>
      <c r="G15" s="66">
        <v>44.800000000000004</v>
      </c>
    </row>
    <row r="16" spans="1:7" ht="16" x14ac:dyDescent="0.2">
      <c r="A16" s="43">
        <v>26941</v>
      </c>
      <c r="B16" s="48" t="s">
        <v>113</v>
      </c>
      <c r="D16" s="66">
        <v>21.490000000000002</v>
      </c>
      <c r="E16" s="66">
        <v>23.025000000000002</v>
      </c>
      <c r="F16" s="66">
        <v>30.700000000000003</v>
      </c>
      <c r="G16" s="66">
        <v>61.400000000000006</v>
      </c>
    </row>
    <row r="17" spans="1:7" ht="16" x14ac:dyDescent="0.2">
      <c r="A17" s="43">
        <v>26947</v>
      </c>
      <c r="B17" s="48" t="s">
        <v>112</v>
      </c>
      <c r="D17" s="66">
        <v>19.32</v>
      </c>
      <c r="E17" s="66">
        <v>20.700000000000003</v>
      </c>
      <c r="F17" s="66">
        <v>27.6</v>
      </c>
      <c r="G17" s="66">
        <v>55.2</v>
      </c>
    </row>
    <row r="18" spans="1:7" ht="16" x14ac:dyDescent="0.2">
      <c r="A18" s="43">
        <v>26953</v>
      </c>
      <c r="B18" s="47" t="s">
        <v>109</v>
      </c>
      <c r="D18" s="66">
        <v>19.32</v>
      </c>
      <c r="E18" s="66">
        <v>20.700000000000003</v>
      </c>
      <c r="F18" s="66">
        <v>27.6</v>
      </c>
      <c r="G18" s="66">
        <v>55.2</v>
      </c>
    </row>
    <row r="19" spans="1:7" ht="16" x14ac:dyDescent="0.2">
      <c r="A19" s="14">
        <v>41189</v>
      </c>
      <c r="B19" s="21" t="s">
        <v>63</v>
      </c>
      <c r="D19" s="66">
        <v>19.740000000000002</v>
      </c>
      <c r="E19" s="66">
        <v>21.150000000000002</v>
      </c>
      <c r="F19" s="66">
        <v>28.200000000000003</v>
      </c>
      <c r="G19" s="66">
        <v>56.400000000000006</v>
      </c>
    </row>
    <row r="20" spans="1:7" ht="16" x14ac:dyDescent="0.2">
      <c r="A20" s="14">
        <v>41200</v>
      </c>
      <c r="B20" s="21" t="s">
        <v>64</v>
      </c>
      <c r="D20" s="66">
        <v>23.45</v>
      </c>
      <c r="E20" s="66">
        <v>25.125</v>
      </c>
      <c r="F20" s="66">
        <v>33.5</v>
      </c>
      <c r="G20" s="66">
        <v>67</v>
      </c>
    </row>
    <row r="21" spans="1:7" ht="16" x14ac:dyDescent="0.2">
      <c r="A21" s="14">
        <v>41220</v>
      </c>
      <c r="B21" s="21" t="s">
        <v>65</v>
      </c>
      <c r="D21" s="66">
        <v>32.829999999999991</v>
      </c>
      <c r="E21" s="66">
        <v>35.174999999999997</v>
      </c>
      <c r="F21" s="66">
        <v>46.899999999999991</v>
      </c>
      <c r="G21" s="66">
        <v>93.799999999999983</v>
      </c>
    </row>
    <row r="22" spans="1:7" ht="16" x14ac:dyDescent="0.2">
      <c r="A22" s="14">
        <v>42287</v>
      </c>
      <c r="B22" s="21" t="s">
        <v>66</v>
      </c>
      <c r="D22" s="66">
        <v>19.740000000000002</v>
      </c>
      <c r="E22" s="66">
        <v>21.150000000000002</v>
      </c>
      <c r="F22" s="66">
        <v>28.200000000000003</v>
      </c>
      <c r="G22" s="66">
        <v>56.400000000000006</v>
      </c>
    </row>
    <row r="23" spans="1:7" ht="16" x14ac:dyDescent="0.2">
      <c r="A23" s="14">
        <v>42300</v>
      </c>
      <c r="B23" s="22" t="s">
        <v>67</v>
      </c>
      <c r="D23" s="66">
        <v>23.45</v>
      </c>
      <c r="E23" s="66">
        <v>25.125</v>
      </c>
      <c r="F23" s="66">
        <v>33.5</v>
      </c>
      <c r="G23" s="66">
        <v>67</v>
      </c>
    </row>
    <row r="24" spans="1:7" ht="16" x14ac:dyDescent="0.2">
      <c r="A24" s="14">
        <v>42320</v>
      </c>
      <c r="B24" s="21" t="s">
        <v>68</v>
      </c>
      <c r="D24" s="66">
        <v>32.829999999999991</v>
      </c>
      <c r="E24" s="66">
        <v>35.174999999999997</v>
      </c>
      <c r="F24" s="66">
        <v>46.899999999999991</v>
      </c>
      <c r="G24" s="66">
        <v>93.799999999999983</v>
      </c>
    </row>
    <row r="25" spans="1:7" ht="16" x14ac:dyDescent="0.2">
      <c r="A25" s="14">
        <v>42386</v>
      </c>
      <c r="B25" s="21" t="s">
        <v>69</v>
      </c>
      <c r="D25" s="66">
        <v>17.779999999999998</v>
      </c>
      <c r="E25" s="66">
        <v>19.049999999999997</v>
      </c>
      <c r="F25" s="66">
        <v>25.4</v>
      </c>
      <c r="G25" s="66">
        <v>43.18</v>
      </c>
    </row>
    <row r="26" spans="1:7" ht="16" x14ac:dyDescent="0.2">
      <c r="A26" s="14">
        <v>42390</v>
      </c>
      <c r="B26" s="21" t="s">
        <v>70</v>
      </c>
      <c r="D26" s="66">
        <v>26.04</v>
      </c>
      <c r="E26" s="66">
        <v>27.900000000000002</v>
      </c>
      <c r="F26" s="66">
        <v>37.200000000000003</v>
      </c>
      <c r="G26" s="66">
        <v>63.24</v>
      </c>
    </row>
    <row r="27" spans="1:7" ht="16" x14ac:dyDescent="0.2">
      <c r="A27" s="14">
        <v>42395</v>
      </c>
      <c r="B27" s="21" t="s">
        <v>71</v>
      </c>
      <c r="D27" s="66">
        <v>33.11</v>
      </c>
      <c r="E27" s="66">
        <v>35.474999999999994</v>
      </c>
      <c r="F27" s="66">
        <v>47.3</v>
      </c>
      <c r="G27" s="66">
        <v>80.41</v>
      </c>
    </row>
    <row r="28" spans="1:7" ht="16" x14ac:dyDescent="0.2">
      <c r="A28" s="14">
        <v>42397</v>
      </c>
      <c r="B28" s="22" t="s">
        <v>72</v>
      </c>
      <c r="D28" s="66">
        <v>42.699999999999996</v>
      </c>
      <c r="E28" s="66">
        <v>45.75</v>
      </c>
      <c r="F28" s="66">
        <v>61</v>
      </c>
      <c r="G28" s="66">
        <v>103.69999999999999</v>
      </c>
    </row>
    <row r="29" spans="1:7" ht="16" x14ac:dyDescent="0.2">
      <c r="A29" s="14">
        <v>42490</v>
      </c>
      <c r="B29" s="21" t="s">
        <v>73</v>
      </c>
      <c r="D29" s="66">
        <v>17.009999999999998</v>
      </c>
      <c r="E29" s="66">
        <v>18.225000000000001</v>
      </c>
      <c r="F29" s="66">
        <v>24.3</v>
      </c>
      <c r="G29" s="66">
        <v>48.6</v>
      </c>
    </row>
    <row r="30" spans="1:7" ht="16" x14ac:dyDescent="0.2">
      <c r="A30" s="14">
        <v>42496</v>
      </c>
      <c r="B30" s="22" t="s">
        <v>74</v>
      </c>
      <c r="D30" s="66">
        <v>21</v>
      </c>
      <c r="E30" s="66">
        <v>22.5</v>
      </c>
      <c r="F30" s="66">
        <v>30</v>
      </c>
      <c r="G30" s="66">
        <v>60</v>
      </c>
    </row>
    <row r="31" spans="1:7" ht="16" x14ac:dyDescent="0.2">
      <c r="A31" s="14">
        <v>42498</v>
      </c>
      <c r="B31" s="21" t="s">
        <v>75</v>
      </c>
      <c r="D31" s="66">
        <v>24.01</v>
      </c>
      <c r="E31" s="66">
        <v>25.725000000000001</v>
      </c>
      <c r="F31" s="66">
        <v>34.300000000000004</v>
      </c>
      <c r="G31" s="66">
        <v>68.600000000000009</v>
      </c>
    </row>
    <row r="32" spans="1:7" ht="16" x14ac:dyDescent="0.2">
      <c r="A32" s="14">
        <v>42500</v>
      </c>
      <c r="B32" s="21" t="s">
        <v>76</v>
      </c>
      <c r="D32" s="66">
        <v>28.979999999999997</v>
      </c>
      <c r="E32" s="66">
        <v>31.049999999999997</v>
      </c>
      <c r="F32" s="66">
        <v>41.4</v>
      </c>
      <c r="G32" s="66">
        <v>82.8</v>
      </c>
    </row>
    <row r="33" spans="1:7" ht="16" x14ac:dyDescent="0.2">
      <c r="A33" s="14">
        <v>42520</v>
      </c>
      <c r="B33" s="21" t="s">
        <v>77</v>
      </c>
      <c r="D33" s="66">
        <v>31.71</v>
      </c>
      <c r="E33" s="66">
        <v>33.975000000000001</v>
      </c>
      <c r="F33" s="66">
        <v>45.300000000000004</v>
      </c>
      <c r="G33" s="66">
        <v>90.600000000000009</v>
      </c>
    </row>
    <row r="34" spans="1:7" ht="16" x14ac:dyDescent="0.2">
      <c r="A34" s="14">
        <v>42540</v>
      </c>
      <c r="B34" s="21" t="s">
        <v>78</v>
      </c>
      <c r="D34" s="66">
        <v>35.489999999999995</v>
      </c>
      <c r="E34" s="66">
        <v>38.024999999999999</v>
      </c>
      <c r="F34" s="66">
        <v>50.699999999999996</v>
      </c>
      <c r="G34" s="66">
        <v>101.39999999999999</v>
      </c>
    </row>
    <row r="35" spans="1:7" ht="16" x14ac:dyDescent="0.2">
      <c r="A35" s="14">
        <v>42598</v>
      </c>
      <c r="B35" s="21" t="s">
        <v>79</v>
      </c>
      <c r="D35" s="66">
        <v>30.379999999999995</v>
      </c>
      <c r="E35" s="66">
        <v>32.549999999999997</v>
      </c>
      <c r="F35" s="66">
        <v>43.4</v>
      </c>
      <c r="G35" s="66">
        <v>86.8</v>
      </c>
    </row>
    <row r="36" spans="1:7" ht="16" x14ac:dyDescent="0.2">
      <c r="A36" s="14">
        <v>42600</v>
      </c>
      <c r="B36" s="22" t="s">
        <v>80</v>
      </c>
      <c r="D36" s="66">
        <v>34.29999999999999</v>
      </c>
      <c r="E36" s="66">
        <v>36.749999999999993</v>
      </c>
      <c r="F36" s="66">
        <v>48.999999999999993</v>
      </c>
      <c r="G36" s="66">
        <v>93.1</v>
      </c>
    </row>
    <row r="37" spans="1:7" ht="16" x14ac:dyDescent="0.2">
      <c r="A37" s="14">
        <v>42687</v>
      </c>
      <c r="B37" s="53" t="s">
        <v>154</v>
      </c>
      <c r="D37" s="66">
        <v>12.67</v>
      </c>
      <c r="E37" s="66">
        <v>13.575000000000001</v>
      </c>
      <c r="F37" s="66">
        <v>18.100000000000001</v>
      </c>
      <c r="G37" s="66">
        <v>36.200000000000003</v>
      </c>
    </row>
    <row r="38" spans="1:7" ht="16" x14ac:dyDescent="0.2">
      <c r="A38" s="14">
        <v>42689</v>
      </c>
      <c r="B38" s="53" t="s">
        <v>155</v>
      </c>
      <c r="D38" s="66">
        <v>8.6800000000000015</v>
      </c>
      <c r="E38" s="66">
        <v>9.3000000000000007</v>
      </c>
      <c r="F38" s="66">
        <v>12.400000000000002</v>
      </c>
      <c r="G38" s="66">
        <v>24.800000000000004</v>
      </c>
    </row>
    <row r="39" spans="1:7" ht="16" x14ac:dyDescent="0.2">
      <c r="A39" s="14">
        <v>42693</v>
      </c>
      <c r="B39" s="53" t="s">
        <v>156</v>
      </c>
      <c r="D39" s="66">
        <v>14.7</v>
      </c>
      <c r="E39" s="66">
        <v>15.75</v>
      </c>
      <c r="F39" s="66">
        <v>21</v>
      </c>
      <c r="G39" s="66">
        <v>42</v>
      </c>
    </row>
    <row r="40" spans="1:7" ht="16" x14ac:dyDescent="0.2">
      <c r="A40" s="6">
        <v>42694</v>
      </c>
      <c r="B40" s="53" t="s">
        <v>157</v>
      </c>
      <c r="D40" s="66">
        <v>9.31</v>
      </c>
      <c r="E40" s="66">
        <v>9.9750000000000014</v>
      </c>
      <c r="F40" s="66">
        <v>13.3</v>
      </c>
      <c r="G40" s="66">
        <v>26.6</v>
      </c>
    </row>
    <row r="41" spans="1:7" ht="16" x14ac:dyDescent="0.2">
      <c r="A41" s="14">
        <v>42695</v>
      </c>
      <c r="B41" s="53" t="s">
        <v>158</v>
      </c>
      <c r="D41" s="66">
        <v>17.779999999999998</v>
      </c>
      <c r="E41" s="66">
        <v>19.049999999999997</v>
      </c>
      <c r="F41" s="66">
        <v>25.4</v>
      </c>
      <c r="G41" s="66">
        <v>50.8</v>
      </c>
    </row>
    <row r="42" spans="1:7" ht="16" x14ac:dyDescent="0.2">
      <c r="A42" s="6">
        <v>42697</v>
      </c>
      <c r="B42" s="53" t="s">
        <v>159</v>
      </c>
      <c r="D42" s="66">
        <v>10.78</v>
      </c>
      <c r="E42" s="66">
        <v>11.55</v>
      </c>
      <c r="F42" s="66">
        <v>15.4</v>
      </c>
      <c r="G42" s="66">
        <v>30.8</v>
      </c>
    </row>
    <row r="43" spans="1:7" ht="16" x14ac:dyDescent="0.2">
      <c r="A43" s="14">
        <v>42700</v>
      </c>
      <c r="B43" s="53" t="s">
        <v>160</v>
      </c>
      <c r="D43" s="66">
        <v>23.240000000000002</v>
      </c>
      <c r="E43" s="66">
        <v>24.900000000000002</v>
      </c>
      <c r="F43" s="66">
        <v>33.200000000000003</v>
      </c>
      <c r="G43" s="66">
        <v>66.400000000000006</v>
      </c>
    </row>
    <row r="44" spans="1:7" ht="16" x14ac:dyDescent="0.2">
      <c r="A44" s="14">
        <v>42782</v>
      </c>
      <c r="B44" s="53" t="s">
        <v>161</v>
      </c>
      <c r="D44" s="66">
        <v>11.409999999999997</v>
      </c>
      <c r="E44" s="66">
        <v>12.224999999999998</v>
      </c>
      <c r="F44" s="66">
        <v>16.299999999999997</v>
      </c>
      <c r="G44" s="66">
        <v>32.599999999999994</v>
      </c>
    </row>
    <row r="45" spans="1:7" ht="16" x14ac:dyDescent="0.2">
      <c r="A45" s="6">
        <v>42786</v>
      </c>
      <c r="B45" s="53" t="s">
        <v>162</v>
      </c>
      <c r="D45" s="66">
        <v>10.85</v>
      </c>
      <c r="E45" s="66">
        <v>11.625</v>
      </c>
      <c r="F45" s="66">
        <v>15.5</v>
      </c>
      <c r="G45" s="66">
        <v>31</v>
      </c>
    </row>
    <row r="46" spans="1:7" ht="16" x14ac:dyDescent="0.2">
      <c r="A46" s="14">
        <v>42787</v>
      </c>
      <c r="B46" s="53" t="s">
        <v>163</v>
      </c>
      <c r="D46" s="66">
        <v>10.85</v>
      </c>
      <c r="E46" s="66">
        <v>11.625</v>
      </c>
      <c r="F46" s="66">
        <v>15.5</v>
      </c>
      <c r="G46" s="66">
        <v>31</v>
      </c>
    </row>
    <row r="47" spans="1:7" ht="16" x14ac:dyDescent="0.2">
      <c r="A47" s="14">
        <v>42788</v>
      </c>
      <c r="B47" s="53" t="s">
        <v>164</v>
      </c>
      <c r="D47" s="66">
        <v>14.7</v>
      </c>
      <c r="E47" s="66">
        <v>15.75</v>
      </c>
      <c r="F47" s="66">
        <v>21</v>
      </c>
      <c r="G47" s="66">
        <v>42</v>
      </c>
    </row>
    <row r="48" spans="1:7" ht="16" x14ac:dyDescent="0.2">
      <c r="A48" s="14">
        <v>42793</v>
      </c>
      <c r="B48" s="53" t="s">
        <v>165</v>
      </c>
      <c r="D48" s="66">
        <v>18.759999999999998</v>
      </c>
      <c r="E48" s="66">
        <v>20.100000000000001</v>
      </c>
      <c r="F48" s="66">
        <v>26.8</v>
      </c>
      <c r="G48" s="66">
        <v>53.6</v>
      </c>
    </row>
    <row r="49" spans="1:7" ht="16" x14ac:dyDescent="0.2">
      <c r="A49" s="6">
        <v>42795</v>
      </c>
      <c r="B49" s="53" t="s">
        <v>166</v>
      </c>
      <c r="D49" s="66">
        <v>11.27</v>
      </c>
      <c r="E49" s="66">
        <v>12.075000000000001</v>
      </c>
      <c r="F49" s="66">
        <v>16.100000000000001</v>
      </c>
      <c r="G49" s="66">
        <v>32.200000000000003</v>
      </c>
    </row>
    <row r="50" spans="1:7" ht="16" x14ac:dyDescent="0.2">
      <c r="A50" s="14">
        <v>42800</v>
      </c>
      <c r="B50" s="53" t="s">
        <v>167</v>
      </c>
      <c r="D50" s="66">
        <v>25.76</v>
      </c>
      <c r="E50" s="66">
        <v>27.6</v>
      </c>
      <c r="F50" s="66">
        <v>36.800000000000004</v>
      </c>
      <c r="G50" s="66">
        <v>73.600000000000009</v>
      </c>
    </row>
    <row r="51" spans="1:7" ht="16" x14ac:dyDescent="0.2">
      <c r="A51" s="14">
        <v>42830</v>
      </c>
      <c r="B51" s="53" t="s">
        <v>168</v>
      </c>
      <c r="D51" s="66">
        <v>36.26</v>
      </c>
      <c r="E51" s="66">
        <v>38.849999999999994</v>
      </c>
      <c r="F51" s="66">
        <v>51.8</v>
      </c>
      <c r="G51" s="66">
        <v>103.6</v>
      </c>
    </row>
    <row r="52" spans="1:7" ht="16" x14ac:dyDescent="0.2">
      <c r="A52" s="14">
        <v>42982</v>
      </c>
      <c r="B52" s="51" t="s">
        <v>169</v>
      </c>
      <c r="D52" s="66">
        <v>24.990000000000002</v>
      </c>
      <c r="E52" s="66">
        <v>26.775000000000002</v>
      </c>
      <c r="F52" s="66">
        <v>35.700000000000003</v>
      </c>
      <c r="G52" s="66">
        <v>71.400000000000006</v>
      </c>
    </row>
    <row r="53" spans="1:7" ht="16" x14ac:dyDescent="0.2">
      <c r="A53" s="14">
        <v>42900</v>
      </c>
      <c r="B53" s="51" t="s">
        <v>170</v>
      </c>
      <c r="D53" s="66">
        <v>31.535999999999991</v>
      </c>
      <c r="E53" s="66">
        <v>33.788571428571416</v>
      </c>
      <c r="F53" s="66">
        <v>45.051428571428559</v>
      </c>
      <c r="G53" s="66">
        <v>95.73428571428569</v>
      </c>
    </row>
    <row r="54" spans="1:7" ht="16" x14ac:dyDescent="0.2">
      <c r="A54" s="14">
        <v>42925</v>
      </c>
      <c r="B54" s="51" t="s">
        <v>171</v>
      </c>
      <c r="D54" s="66">
        <v>33.520000000000017</v>
      </c>
      <c r="E54" s="66">
        <v>35.914285714285739</v>
      </c>
      <c r="F54" s="66">
        <v>47.885714285714315</v>
      </c>
      <c r="G54" s="66">
        <v>101.75714285714292</v>
      </c>
    </row>
    <row r="55" spans="1:7" ht="16" x14ac:dyDescent="0.2">
      <c r="A55" s="14">
        <v>42932</v>
      </c>
      <c r="B55" s="51" t="s">
        <v>172</v>
      </c>
      <c r="D55" s="66">
        <v>35.104000000000006</v>
      </c>
      <c r="E55" s="66">
        <v>37.611428571428576</v>
      </c>
      <c r="F55" s="66">
        <v>50.148571428571437</v>
      </c>
      <c r="G55" s="66">
        <v>106.56571428571431</v>
      </c>
    </row>
    <row r="56" spans="1:7" ht="16" x14ac:dyDescent="0.2">
      <c r="A56" s="6">
        <v>42986</v>
      </c>
      <c r="B56" s="53" t="s">
        <v>184</v>
      </c>
      <c r="D56" s="66">
        <v>11.27</v>
      </c>
      <c r="E56" s="66">
        <v>12.075000000000001</v>
      </c>
      <c r="F56" s="66">
        <v>16.100000000000001</v>
      </c>
      <c r="G56" s="66">
        <v>32.200000000000003</v>
      </c>
    </row>
    <row r="57" spans="1:7" ht="16" x14ac:dyDescent="0.2">
      <c r="A57" s="14">
        <v>43100</v>
      </c>
      <c r="B57" s="51" t="s">
        <v>185</v>
      </c>
      <c r="D57" s="66">
        <v>19.259999999999987</v>
      </c>
      <c r="E57" s="66">
        <v>20.635714285714272</v>
      </c>
      <c r="F57" s="66">
        <v>27.514285714285698</v>
      </c>
      <c r="G57" s="66">
        <v>55.028571428571396</v>
      </c>
    </row>
    <row r="58" spans="1:7" ht="16" x14ac:dyDescent="0.2">
      <c r="A58" s="14">
        <v>43109</v>
      </c>
      <c r="B58" s="51" t="s">
        <v>186</v>
      </c>
      <c r="D58" s="66">
        <v>24.760000000000019</v>
      </c>
      <c r="E58" s="66">
        <v>26.528571428571453</v>
      </c>
      <c r="F58" s="66">
        <v>35.371428571428602</v>
      </c>
      <c r="G58" s="66">
        <v>70.742857142857204</v>
      </c>
    </row>
    <row r="59" spans="1:7" ht="16" x14ac:dyDescent="0.2">
      <c r="A59" s="14">
        <v>43113</v>
      </c>
      <c r="B59" s="51" t="s">
        <v>187</v>
      </c>
      <c r="D59" s="66">
        <v>12.759999999999978</v>
      </c>
      <c r="E59" s="66">
        <v>13.67142857142855</v>
      </c>
      <c r="F59" s="66">
        <v>18.228571428571399</v>
      </c>
      <c r="G59" s="66">
        <v>36.457142857142799</v>
      </c>
    </row>
    <row r="60" spans="1:7" ht="16" x14ac:dyDescent="0.2">
      <c r="A60" s="14">
        <v>43115</v>
      </c>
      <c r="B60" s="51" t="s">
        <v>188</v>
      </c>
      <c r="D60" s="66">
        <v>15.059999999999988</v>
      </c>
      <c r="E60" s="66">
        <v>16.135714285714272</v>
      </c>
      <c r="F60" s="66">
        <v>21.514285714285698</v>
      </c>
      <c r="G60" s="66">
        <v>43.028571428571396</v>
      </c>
    </row>
    <row r="61" spans="1:7" ht="16" x14ac:dyDescent="0.2">
      <c r="A61" s="14">
        <v>43187</v>
      </c>
      <c r="B61" s="51" t="s">
        <v>189</v>
      </c>
      <c r="D61" s="66">
        <v>14.181999999999977</v>
      </c>
      <c r="E61" s="66">
        <v>15.194999999999977</v>
      </c>
      <c r="F61" s="66">
        <v>20.25999999999997</v>
      </c>
      <c r="G61" s="66">
        <v>57.885714285714201</v>
      </c>
    </row>
    <row r="62" spans="1:7" ht="16" x14ac:dyDescent="0.2">
      <c r="A62" s="6">
        <v>43189</v>
      </c>
      <c r="B62" s="53" t="s">
        <v>190</v>
      </c>
      <c r="D62" s="66">
        <v>10.682</v>
      </c>
      <c r="E62" s="66">
        <v>11.445</v>
      </c>
      <c r="F62" s="66">
        <v>15.260000000000002</v>
      </c>
      <c r="G62" s="66">
        <v>43.6</v>
      </c>
    </row>
    <row r="63" spans="1:7" ht="16" x14ac:dyDescent="0.2">
      <c r="A63" s="14">
        <v>43192</v>
      </c>
      <c r="B63" s="53" t="s">
        <v>191</v>
      </c>
      <c r="D63" s="66">
        <v>19.207999999999998</v>
      </c>
      <c r="E63" s="66">
        <v>20.580000000000002</v>
      </c>
      <c r="F63" s="66">
        <v>27.44</v>
      </c>
      <c r="G63" s="66">
        <v>78.400000000000006</v>
      </c>
    </row>
    <row r="64" spans="1:7" ht="16" x14ac:dyDescent="0.2">
      <c r="A64" s="14">
        <v>43195</v>
      </c>
      <c r="B64" s="51" t="s">
        <v>192</v>
      </c>
      <c r="D64" s="66">
        <v>21.265999999999998</v>
      </c>
      <c r="E64" s="66">
        <v>22.785</v>
      </c>
      <c r="F64" s="66">
        <v>30.38</v>
      </c>
      <c r="G64" s="66">
        <v>86.8</v>
      </c>
    </row>
    <row r="65" spans="1:7" ht="16" x14ac:dyDescent="0.2">
      <c r="A65" s="6">
        <v>43198</v>
      </c>
      <c r="B65" s="53" t="s">
        <v>193</v>
      </c>
      <c r="D65" s="66">
        <v>12.789</v>
      </c>
      <c r="E65" s="66">
        <v>13.702500000000001</v>
      </c>
      <c r="F65" s="66">
        <v>18.27</v>
      </c>
      <c r="G65" s="66">
        <v>52.199999999999996</v>
      </c>
    </row>
    <row r="66" spans="1:7" ht="16" x14ac:dyDescent="0.2">
      <c r="A66" s="14">
        <v>43200</v>
      </c>
      <c r="B66" s="51" t="s">
        <v>194</v>
      </c>
      <c r="D66" s="66">
        <v>23.471</v>
      </c>
      <c r="E66" s="66">
        <v>25.147500000000001</v>
      </c>
      <c r="F66" s="66">
        <v>33.53</v>
      </c>
      <c r="G66" s="66">
        <v>95.8</v>
      </c>
    </row>
    <row r="67" spans="1:7" ht="16" x14ac:dyDescent="0.2">
      <c r="A67" s="14">
        <v>43372</v>
      </c>
      <c r="B67" s="53" t="s">
        <v>203</v>
      </c>
      <c r="D67" s="66">
        <v>16.38</v>
      </c>
      <c r="E67" s="66">
        <v>17.549999999999997</v>
      </c>
      <c r="F67" s="66">
        <v>23.4</v>
      </c>
      <c r="G67" s="66">
        <v>46.8</v>
      </c>
    </row>
    <row r="68" spans="1:7" ht="16" x14ac:dyDescent="0.2">
      <c r="A68" s="14">
        <v>43390</v>
      </c>
      <c r="B68" s="53" t="s">
        <v>204</v>
      </c>
      <c r="D68" s="66">
        <v>28.139999999999993</v>
      </c>
      <c r="E68" s="66">
        <v>30.15</v>
      </c>
      <c r="F68" s="66">
        <v>40.199999999999996</v>
      </c>
      <c r="G68" s="66">
        <v>80.399999999999991</v>
      </c>
    </row>
    <row r="69" spans="1:7" ht="16" x14ac:dyDescent="0.2">
      <c r="A69" s="14">
        <v>43400</v>
      </c>
      <c r="B69" s="53" t="s">
        <v>205</v>
      </c>
      <c r="D69" s="66">
        <v>35.839999999999996</v>
      </c>
      <c r="E69" s="66">
        <v>38.400000000000006</v>
      </c>
      <c r="F69" s="66">
        <v>51.2</v>
      </c>
      <c r="G69" s="66">
        <v>102.4</v>
      </c>
    </row>
    <row r="70" spans="1:7" ht="16" x14ac:dyDescent="0.2">
      <c r="A70" s="14">
        <v>43488</v>
      </c>
      <c r="B70" s="53" t="s">
        <v>206</v>
      </c>
      <c r="D70" s="66">
        <v>15.12</v>
      </c>
      <c r="E70" s="66">
        <v>16.200000000000003</v>
      </c>
      <c r="F70" s="66">
        <v>21.6</v>
      </c>
      <c r="G70" s="66">
        <v>43.2</v>
      </c>
    </row>
    <row r="71" spans="1:7" ht="16" x14ac:dyDescent="0.2">
      <c r="A71" s="14">
        <v>43500</v>
      </c>
      <c r="B71" s="53" t="s">
        <v>207</v>
      </c>
      <c r="D71" s="66">
        <v>20.37</v>
      </c>
      <c r="E71" s="66">
        <v>21.825000000000003</v>
      </c>
      <c r="F71" s="66">
        <v>29.1</v>
      </c>
      <c r="G71" s="66">
        <v>58.2</v>
      </c>
    </row>
    <row r="72" spans="1:7" ht="16" x14ac:dyDescent="0.2">
      <c r="A72" s="14">
        <v>43540</v>
      </c>
      <c r="B72" s="53" t="s">
        <v>208</v>
      </c>
      <c r="D72" s="66">
        <v>26.669999999999998</v>
      </c>
      <c r="E72" s="66">
        <v>28.575000000000003</v>
      </c>
      <c r="F72" s="66">
        <v>38.1</v>
      </c>
      <c r="G72" s="66">
        <v>76.2</v>
      </c>
    </row>
    <row r="73" spans="1:7" ht="16" x14ac:dyDescent="0.2">
      <c r="A73" s="14">
        <v>43585</v>
      </c>
      <c r="B73" s="53" t="s">
        <v>221</v>
      </c>
      <c r="D73" s="66">
        <v>15.68</v>
      </c>
      <c r="E73" s="66">
        <v>16.8</v>
      </c>
      <c r="F73" s="66">
        <v>22.400000000000002</v>
      </c>
      <c r="G73" s="66">
        <v>44.800000000000004</v>
      </c>
    </row>
    <row r="74" spans="1:7" ht="16" x14ac:dyDescent="0.2">
      <c r="A74" s="14">
        <v>43588</v>
      </c>
      <c r="B74" s="53" t="s">
        <v>222</v>
      </c>
      <c r="D74" s="66">
        <v>20.440000000000001</v>
      </c>
      <c r="E74" s="66">
        <v>21.900000000000002</v>
      </c>
      <c r="F74" s="66">
        <v>29.200000000000003</v>
      </c>
      <c r="G74" s="66">
        <v>58.400000000000006</v>
      </c>
    </row>
    <row r="75" spans="1:7" ht="16" x14ac:dyDescent="0.2">
      <c r="A75" s="14">
        <v>43596</v>
      </c>
      <c r="B75" s="53" t="s">
        <v>223</v>
      </c>
      <c r="D75" s="66">
        <v>27.859999999999996</v>
      </c>
      <c r="E75" s="66">
        <v>29.849999999999998</v>
      </c>
      <c r="F75" s="66">
        <v>39.799999999999997</v>
      </c>
      <c r="G75" s="66">
        <v>79.599999999999994</v>
      </c>
    </row>
    <row r="76" spans="1:7" ht="16" x14ac:dyDescent="0.2">
      <c r="A76" s="14">
        <v>43616</v>
      </c>
      <c r="B76" s="51" t="s">
        <v>219</v>
      </c>
      <c r="D76" s="66">
        <v>14.060000000000011</v>
      </c>
      <c r="E76" s="66">
        <v>15.064285714285727</v>
      </c>
      <c r="F76" s="66">
        <v>20.085714285714303</v>
      </c>
      <c r="G76" s="66">
        <v>40.171428571428606</v>
      </c>
    </row>
    <row r="77" spans="1:7" ht="16" x14ac:dyDescent="0.2">
      <c r="A77" s="14">
        <v>43620</v>
      </c>
      <c r="B77" s="51" t="s">
        <v>220</v>
      </c>
      <c r="D77" s="66">
        <v>18.120000000000008</v>
      </c>
      <c r="E77" s="66">
        <v>19.414285714285725</v>
      </c>
      <c r="F77" s="66">
        <v>25.8857142857143</v>
      </c>
      <c r="G77" s="66">
        <v>51.771428571428601</v>
      </c>
    </row>
    <row r="78" spans="1:7" ht="16" x14ac:dyDescent="0.2">
      <c r="A78" s="14">
        <v>43702</v>
      </c>
      <c r="B78" s="51" t="s">
        <v>217</v>
      </c>
      <c r="D78" s="66">
        <v>14.009999999999987</v>
      </c>
      <c r="E78" s="66">
        <v>15.010714285714274</v>
      </c>
      <c r="F78" s="66">
        <v>20.014285714285698</v>
      </c>
      <c r="G78" s="66">
        <v>40.028571428571396</v>
      </c>
    </row>
    <row r="79" spans="1:7" ht="16" x14ac:dyDescent="0.2">
      <c r="A79" s="14">
        <v>43727</v>
      </c>
      <c r="B79" s="51" t="s">
        <v>218</v>
      </c>
      <c r="D79" s="66">
        <v>19.969999999999978</v>
      </c>
      <c r="E79" s="66">
        <v>21.396428571428551</v>
      </c>
      <c r="F79" s="66">
        <v>28.5285714285714</v>
      </c>
      <c r="G79" s="66">
        <v>57.0571428571428</v>
      </c>
    </row>
    <row r="80" spans="1:7" ht="16" x14ac:dyDescent="0.2">
      <c r="A80" s="14">
        <v>43858</v>
      </c>
      <c r="B80" s="51" t="s">
        <v>142</v>
      </c>
      <c r="D80" s="66">
        <v>9.911999999999999</v>
      </c>
      <c r="E80" s="66">
        <v>10.620000000000001</v>
      </c>
      <c r="F80" s="66">
        <v>14.16</v>
      </c>
      <c r="G80" s="66">
        <v>30.09</v>
      </c>
    </row>
    <row r="81" spans="1:7" ht="16" x14ac:dyDescent="0.2">
      <c r="A81" s="14">
        <v>43862</v>
      </c>
      <c r="B81" s="51" t="s">
        <v>143</v>
      </c>
      <c r="D81" s="66">
        <v>13.664</v>
      </c>
      <c r="E81" s="66">
        <v>14.64</v>
      </c>
      <c r="F81" s="66">
        <v>19.52</v>
      </c>
      <c r="G81" s="66">
        <v>41.48</v>
      </c>
    </row>
    <row r="82" spans="1:7" ht="16" x14ac:dyDescent="0.2">
      <c r="A82" s="14">
        <v>43900</v>
      </c>
      <c r="B82" s="51" t="s">
        <v>141</v>
      </c>
      <c r="D82" s="66">
        <v>35.448</v>
      </c>
      <c r="E82" s="66">
        <v>37.980000000000004</v>
      </c>
      <c r="F82" s="66">
        <v>50.64</v>
      </c>
      <c r="G82" s="66">
        <v>107.61</v>
      </c>
    </row>
    <row r="83" spans="1:7" ht="16" x14ac:dyDescent="0.2">
      <c r="A83" s="14">
        <v>44020</v>
      </c>
      <c r="B83" s="51" t="s">
        <v>225</v>
      </c>
      <c r="D83" s="66">
        <v>11.968000000000016</v>
      </c>
      <c r="E83" s="66">
        <v>12.82285714285716</v>
      </c>
      <c r="F83" s="66">
        <v>17.097142857142881</v>
      </c>
      <c r="G83" s="66">
        <v>36.331428571428624</v>
      </c>
    </row>
    <row r="84" spans="1:7" ht="16" x14ac:dyDescent="0.2">
      <c r="A84" s="14">
        <v>44060</v>
      </c>
      <c r="B84" s="51" t="s">
        <v>226</v>
      </c>
      <c r="D84" s="66">
        <v>14.592000000000022</v>
      </c>
      <c r="E84" s="66">
        <v>15.634285714285738</v>
      </c>
      <c r="F84" s="66">
        <v>20.845714285714319</v>
      </c>
      <c r="G84" s="66">
        <v>44.29714285714293</v>
      </c>
    </row>
    <row r="85" spans="1:7" ht="16" x14ac:dyDescent="0.2">
      <c r="A85" s="14">
        <v>44539</v>
      </c>
      <c r="B85" s="51" t="s">
        <v>227</v>
      </c>
      <c r="D85" s="66">
        <v>7.8959999999999999</v>
      </c>
      <c r="E85" s="66">
        <v>8.4600000000000009</v>
      </c>
      <c r="F85" s="66">
        <v>11.280000000000001</v>
      </c>
      <c r="G85" s="66">
        <v>23.970000000000002</v>
      </c>
    </row>
    <row r="86" spans="1:7" ht="16" x14ac:dyDescent="0.2">
      <c r="A86" s="14">
        <v>44541</v>
      </c>
      <c r="B86" s="51" t="s">
        <v>228</v>
      </c>
      <c r="D86" s="66">
        <v>8.2880000000000003</v>
      </c>
      <c r="E86" s="66">
        <v>8.879999999999999</v>
      </c>
      <c r="F86" s="66">
        <v>11.84</v>
      </c>
      <c r="G86" s="66">
        <v>25.16</v>
      </c>
    </row>
    <row r="87" spans="1:7" ht="16" x14ac:dyDescent="0.2">
      <c r="A87" s="14">
        <v>44543</v>
      </c>
      <c r="B87" s="51" t="s">
        <v>229</v>
      </c>
      <c r="D87" s="66">
        <v>10.191999999999998</v>
      </c>
      <c r="E87" s="66">
        <v>10.919999999999998</v>
      </c>
      <c r="F87" s="66">
        <v>14.559999999999999</v>
      </c>
      <c r="G87" s="66">
        <v>30.939999999999998</v>
      </c>
    </row>
    <row r="88" spans="1:7" ht="16" x14ac:dyDescent="0.2">
      <c r="A88" s="14">
        <v>44697</v>
      </c>
      <c r="B88" s="51" t="s">
        <v>144</v>
      </c>
      <c r="D88" s="66">
        <v>11.144</v>
      </c>
      <c r="E88" s="66">
        <v>11.940000000000001</v>
      </c>
      <c r="F88" s="66">
        <v>15.920000000000002</v>
      </c>
      <c r="G88" s="66">
        <v>33.830000000000005</v>
      </c>
    </row>
    <row r="89" spans="1:7" ht="16" x14ac:dyDescent="0.2">
      <c r="A89" s="14">
        <v>44701</v>
      </c>
      <c r="B89" s="51" t="s">
        <v>152</v>
      </c>
      <c r="D89" s="66">
        <v>16.184000000000001</v>
      </c>
      <c r="E89" s="66">
        <v>17.34</v>
      </c>
      <c r="F89" s="66">
        <v>23.12</v>
      </c>
      <c r="G89" s="66">
        <v>49.13</v>
      </c>
    </row>
    <row r="90" spans="1:7" ht="16" x14ac:dyDescent="0.2">
      <c r="A90" s="14">
        <v>44881</v>
      </c>
      <c r="B90" s="69" t="s">
        <v>81</v>
      </c>
      <c r="D90" s="66">
        <v>19.375999999999998</v>
      </c>
      <c r="E90" s="66">
        <v>20.759999999999998</v>
      </c>
      <c r="F90" s="66">
        <v>27.68</v>
      </c>
      <c r="G90" s="66">
        <v>58.82</v>
      </c>
    </row>
    <row r="91" spans="1:7" ht="16" x14ac:dyDescent="0.2">
      <c r="A91" s="14">
        <v>44883</v>
      </c>
      <c r="B91" s="69" t="s">
        <v>235</v>
      </c>
      <c r="D91" s="66">
        <v>26.319999999999993</v>
      </c>
      <c r="E91" s="66">
        <v>28.199999999999996</v>
      </c>
      <c r="F91" s="66">
        <v>37.599999999999994</v>
      </c>
      <c r="G91" s="66">
        <v>79.899999999999991</v>
      </c>
    </row>
    <row r="92" spans="1:7" ht="16" x14ac:dyDescent="0.2">
      <c r="A92" s="14">
        <v>44888</v>
      </c>
      <c r="B92" s="69" t="s">
        <v>82</v>
      </c>
      <c r="D92" s="66">
        <v>32.423999999999999</v>
      </c>
      <c r="E92" s="66">
        <v>34.74</v>
      </c>
      <c r="F92" s="66">
        <v>46.32</v>
      </c>
      <c r="G92" s="66">
        <v>98.43</v>
      </c>
    </row>
    <row r="93" spans="1:7" ht="16" x14ac:dyDescent="0.2">
      <c r="A93" s="14">
        <v>44890</v>
      </c>
      <c r="B93" s="57" t="s">
        <v>83</v>
      </c>
      <c r="D93" s="66">
        <v>35.335999999999999</v>
      </c>
      <c r="E93" s="66">
        <v>37.86</v>
      </c>
      <c r="F93" s="66">
        <v>50.48</v>
      </c>
      <c r="G93" s="66">
        <v>107.27</v>
      </c>
    </row>
    <row r="94" spans="1:7" ht="16" x14ac:dyDescent="0.2">
      <c r="A94" s="14">
        <v>51189</v>
      </c>
      <c r="B94" s="21" t="s">
        <v>84</v>
      </c>
      <c r="D94" s="66">
        <v>13.019999999999998</v>
      </c>
      <c r="E94" s="66">
        <v>13.95</v>
      </c>
      <c r="F94" s="66">
        <v>18.599999999999998</v>
      </c>
      <c r="G94" s="66">
        <v>37.199999999999996</v>
      </c>
    </row>
    <row r="95" spans="1:7" ht="16" x14ac:dyDescent="0.2">
      <c r="A95" s="14">
        <v>51200</v>
      </c>
      <c r="B95" s="21" t="s">
        <v>85</v>
      </c>
      <c r="D95" s="66">
        <v>14.139999999999999</v>
      </c>
      <c r="E95" s="66">
        <v>15.149999999999999</v>
      </c>
      <c r="F95" s="66">
        <v>20.2</v>
      </c>
      <c r="G95" s="66">
        <v>40.4</v>
      </c>
    </row>
    <row r="96" spans="1:7" ht="16" x14ac:dyDescent="0.2">
      <c r="A96" s="14">
        <v>51220</v>
      </c>
      <c r="B96" s="21" t="s">
        <v>86</v>
      </c>
      <c r="D96" s="66">
        <v>16.73</v>
      </c>
      <c r="E96" s="66">
        <v>17.925000000000001</v>
      </c>
      <c r="F96" s="66">
        <v>23.900000000000002</v>
      </c>
      <c r="G96" s="66">
        <v>47.800000000000004</v>
      </c>
    </row>
    <row r="97" spans="1:7" ht="16" x14ac:dyDescent="0.2">
      <c r="A97" s="14">
        <v>52287</v>
      </c>
      <c r="B97" s="21" t="s">
        <v>87</v>
      </c>
      <c r="D97" s="66">
        <v>13.019999999999998</v>
      </c>
      <c r="E97" s="66">
        <v>13.95</v>
      </c>
      <c r="F97" s="66">
        <v>18.599999999999998</v>
      </c>
      <c r="G97" s="66">
        <v>37.199999999999996</v>
      </c>
    </row>
    <row r="98" spans="1:7" ht="16" x14ac:dyDescent="0.2">
      <c r="A98" s="14">
        <v>52300</v>
      </c>
      <c r="B98" s="21" t="s">
        <v>88</v>
      </c>
      <c r="D98" s="66">
        <v>14.139999999999999</v>
      </c>
      <c r="E98" s="66">
        <v>15.149999999999999</v>
      </c>
      <c r="F98" s="66">
        <v>20.2</v>
      </c>
      <c r="G98" s="66">
        <v>40.4</v>
      </c>
    </row>
    <row r="99" spans="1:7" ht="16" x14ac:dyDescent="0.2">
      <c r="A99" s="14">
        <v>52320</v>
      </c>
      <c r="B99" s="21" t="s">
        <v>89</v>
      </c>
      <c r="D99" s="66">
        <v>16.73</v>
      </c>
      <c r="E99" s="66">
        <v>17.925000000000001</v>
      </c>
      <c r="F99" s="66">
        <v>23.900000000000002</v>
      </c>
      <c r="G99" s="66">
        <v>47.800000000000004</v>
      </c>
    </row>
    <row r="100" spans="1:7" ht="16" x14ac:dyDescent="0.2">
      <c r="A100" s="14">
        <v>52387</v>
      </c>
      <c r="B100" s="21" t="s">
        <v>236</v>
      </c>
      <c r="D100" s="66">
        <v>15.47</v>
      </c>
      <c r="E100" s="66">
        <v>16.575000000000003</v>
      </c>
      <c r="F100" s="66">
        <v>22.1</v>
      </c>
      <c r="G100" s="66">
        <v>44.2</v>
      </c>
    </row>
    <row r="101" spans="1:7" ht="16" x14ac:dyDescent="0.2">
      <c r="A101" s="14">
        <v>52390</v>
      </c>
      <c r="B101" s="21" t="s">
        <v>90</v>
      </c>
      <c r="D101" s="66">
        <v>14.98</v>
      </c>
      <c r="E101" s="66">
        <v>16.05</v>
      </c>
      <c r="F101" s="66">
        <v>21.400000000000002</v>
      </c>
      <c r="G101" s="66">
        <v>42.800000000000004</v>
      </c>
    </row>
    <row r="102" spans="1:7" ht="16" x14ac:dyDescent="0.2">
      <c r="A102" s="14">
        <v>52395</v>
      </c>
      <c r="B102" s="58" t="s">
        <v>91</v>
      </c>
      <c r="D102" s="66">
        <v>17.22</v>
      </c>
      <c r="E102" s="66">
        <v>18.450000000000003</v>
      </c>
      <c r="F102" s="66">
        <v>24.6</v>
      </c>
      <c r="G102" s="66">
        <v>49.2</v>
      </c>
    </row>
    <row r="103" spans="1:7" ht="16" x14ac:dyDescent="0.2">
      <c r="A103" s="14">
        <v>52397</v>
      </c>
      <c r="B103" s="21" t="s">
        <v>92</v>
      </c>
      <c r="D103" s="66">
        <v>21.63</v>
      </c>
      <c r="E103" s="66">
        <v>23.175000000000001</v>
      </c>
      <c r="F103" s="66">
        <v>30.900000000000002</v>
      </c>
      <c r="G103" s="66">
        <v>61.800000000000004</v>
      </c>
    </row>
    <row r="104" spans="1:7" ht="16" x14ac:dyDescent="0.2">
      <c r="A104" s="14">
        <v>52490</v>
      </c>
      <c r="B104" s="21" t="s">
        <v>239</v>
      </c>
      <c r="D104" s="66">
        <v>13.930000000000001</v>
      </c>
      <c r="E104" s="66">
        <v>14.925000000000001</v>
      </c>
      <c r="F104" s="66">
        <v>19.900000000000002</v>
      </c>
      <c r="G104" s="66">
        <v>39.800000000000004</v>
      </c>
    </row>
    <row r="105" spans="1:7" ht="16" x14ac:dyDescent="0.2">
      <c r="A105" s="14">
        <v>52498</v>
      </c>
      <c r="B105" s="21" t="s">
        <v>93</v>
      </c>
      <c r="D105" s="66">
        <v>13.86</v>
      </c>
      <c r="E105" s="66">
        <v>14.850000000000001</v>
      </c>
      <c r="F105" s="66">
        <v>19.8</v>
      </c>
      <c r="G105" s="66">
        <v>39.6</v>
      </c>
    </row>
    <row r="106" spans="1:7" ht="16" x14ac:dyDescent="0.2">
      <c r="A106" s="14">
        <v>52500</v>
      </c>
      <c r="B106" s="58" t="s">
        <v>94</v>
      </c>
      <c r="D106" s="66">
        <v>15.61</v>
      </c>
      <c r="E106" s="66">
        <v>16.725000000000001</v>
      </c>
      <c r="F106" s="66">
        <v>22.3</v>
      </c>
      <c r="G106" s="66">
        <v>44.6</v>
      </c>
    </row>
    <row r="107" spans="1:7" ht="16" x14ac:dyDescent="0.2">
      <c r="A107" s="14">
        <v>52540</v>
      </c>
      <c r="B107" s="21" t="s">
        <v>95</v>
      </c>
      <c r="D107" s="66">
        <v>19.809999999999999</v>
      </c>
      <c r="E107" s="66">
        <v>21.225000000000001</v>
      </c>
      <c r="F107" s="66">
        <v>28.3</v>
      </c>
      <c r="G107" s="66">
        <v>56.6</v>
      </c>
    </row>
    <row r="108" spans="1:7" ht="16" x14ac:dyDescent="0.2">
      <c r="A108" s="14">
        <v>52598</v>
      </c>
      <c r="B108" s="21" t="s">
        <v>96</v>
      </c>
      <c r="D108" s="66">
        <v>14.909999999999997</v>
      </c>
      <c r="E108" s="66">
        <v>15.974999999999998</v>
      </c>
      <c r="F108" s="66">
        <v>21.299999999999997</v>
      </c>
      <c r="G108" s="66">
        <v>42.599999999999994</v>
      </c>
    </row>
    <row r="109" spans="1:7" ht="16" x14ac:dyDescent="0.2">
      <c r="A109" s="14">
        <v>52600</v>
      </c>
      <c r="B109" s="21" t="s">
        <v>97</v>
      </c>
      <c r="D109" s="66">
        <v>16.45</v>
      </c>
      <c r="E109" s="66">
        <v>17.625</v>
      </c>
      <c r="F109" s="66">
        <v>23.5</v>
      </c>
      <c r="G109" s="66">
        <v>47</v>
      </c>
    </row>
    <row r="110" spans="1:7" ht="16" x14ac:dyDescent="0.2">
      <c r="A110" s="14">
        <v>52687</v>
      </c>
      <c r="B110" s="21" t="s">
        <v>104</v>
      </c>
      <c r="D110" s="66">
        <v>9.870000000000001</v>
      </c>
      <c r="E110" s="66">
        <v>10.575000000000001</v>
      </c>
      <c r="F110" s="66">
        <v>14.100000000000001</v>
      </c>
      <c r="G110" s="66">
        <v>28.200000000000003</v>
      </c>
    </row>
    <row r="111" spans="1:7" ht="16" x14ac:dyDescent="0.2">
      <c r="A111" s="14">
        <v>52693</v>
      </c>
      <c r="B111" s="21" t="s">
        <v>103</v>
      </c>
      <c r="D111" s="66">
        <v>10.569999999999999</v>
      </c>
      <c r="E111" s="66">
        <v>11.324999999999999</v>
      </c>
      <c r="F111" s="66">
        <v>15.1</v>
      </c>
      <c r="G111" s="66">
        <v>30.2</v>
      </c>
    </row>
    <row r="112" spans="1:7" ht="16" x14ac:dyDescent="0.2">
      <c r="A112" s="14">
        <v>52694</v>
      </c>
      <c r="B112" s="42" t="s">
        <v>224</v>
      </c>
      <c r="D112" s="66">
        <v>8.0499999999999989</v>
      </c>
      <c r="E112" s="66">
        <v>8.625</v>
      </c>
      <c r="F112" s="66">
        <v>11.5</v>
      </c>
      <c r="G112" s="66">
        <v>23</v>
      </c>
    </row>
    <row r="113" spans="1:7" ht="16" x14ac:dyDescent="0.2">
      <c r="A113" s="14">
        <v>52695</v>
      </c>
      <c r="B113" s="41" t="s">
        <v>105</v>
      </c>
      <c r="D113" s="66">
        <v>11.27</v>
      </c>
      <c r="E113" s="66">
        <v>12.075000000000001</v>
      </c>
      <c r="F113" s="66">
        <v>16.100000000000001</v>
      </c>
      <c r="G113" s="66">
        <v>32.200000000000003</v>
      </c>
    </row>
    <row r="114" spans="1:7" ht="16" x14ac:dyDescent="0.2">
      <c r="A114" s="3">
        <v>52697</v>
      </c>
      <c r="B114" s="53" t="s">
        <v>106</v>
      </c>
      <c r="D114" s="66">
        <v>8.6800000000000015</v>
      </c>
      <c r="E114" s="66">
        <v>9.3000000000000007</v>
      </c>
      <c r="F114" s="66">
        <v>12.400000000000002</v>
      </c>
      <c r="G114" s="66">
        <v>24.800000000000004</v>
      </c>
    </row>
    <row r="115" spans="1:7" ht="16" x14ac:dyDescent="0.2">
      <c r="A115" s="14">
        <v>52700</v>
      </c>
      <c r="B115" s="42" t="s">
        <v>107</v>
      </c>
      <c r="D115" s="66">
        <v>12.879999999999999</v>
      </c>
      <c r="E115" s="66">
        <v>13.799999999999999</v>
      </c>
      <c r="F115" s="66">
        <v>18.399999999999999</v>
      </c>
      <c r="G115" s="66">
        <v>36.799999999999997</v>
      </c>
    </row>
    <row r="116" spans="1:7" ht="16" x14ac:dyDescent="0.2">
      <c r="A116" s="3">
        <v>52782</v>
      </c>
      <c r="B116" s="42" t="s">
        <v>175</v>
      </c>
      <c r="D116" s="66">
        <v>10.290000000000001</v>
      </c>
      <c r="E116" s="66">
        <v>11.025000000000002</v>
      </c>
      <c r="F116" s="66">
        <v>14.700000000000003</v>
      </c>
      <c r="G116" s="66">
        <v>29.400000000000006</v>
      </c>
    </row>
    <row r="117" spans="1:7" ht="16" x14ac:dyDescent="0.2">
      <c r="A117" s="14">
        <v>52793</v>
      </c>
      <c r="B117" s="42" t="s">
        <v>176</v>
      </c>
      <c r="D117" s="66">
        <v>13.23</v>
      </c>
      <c r="E117" s="66">
        <v>14.175000000000001</v>
      </c>
      <c r="F117" s="66">
        <v>18.900000000000002</v>
      </c>
      <c r="G117" s="66">
        <v>37.800000000000004</v>
      </c>
    </row>
    <row r="118" spans="1:7" ht="16" x14ac:dyDescent="0.2">
      <c r="A118" s="14">
        <v>52795</v>
      </c>
      <c r="B118" s="51" t="s">
        <v>177</v>
      </c>
      <c r="D118" s="66">
        <v>7.91</v>
      </c>
      <c r="E118" s="66">
        <v>8.4750000000000014</v>
      </c>
      <c r="F118" s="66">
        <v>11.3</v>
      </c>
      <c r="G118" s="66">
        <v>22.6</v>
      </c>
    </row>
    <row r="119" spans="1:7" ht="16" x14ac:dyDescent="0.2">
      <c r="A119" s="14">
        <v>52800</v>
      </c>
      <c r="B119" s="51" t="s">
        <v>178</v>
      </c>
      <c r="D119" s="66">
        <v>16.799999999999997</v>
      </c>
      <c r="E119" s="66">
        <v>18</v>
      </c>
      <c r="F119" s="66">
        <v>24</v>
      </c>
      <c r="G119" s="66">
        <v>48</v>
      </c>
    </row>
    <row r="120" spans="1:7" ht="16" x14ac:dyDescent="0.2">
      <c r="A120" s="6">
        <v>52830</v>
      </c>
      <c r="B120" s="53" t="s">
        <v>179</v>
      </c>
      <c r="D120" s="66">
        <v>18.269999999999996</v>
      </c>
      <c r="E120" s="66">
        <v>19.574999999999999</v>
      </c>
      <c r="F120" s="66">
        <v>26.099999999999998</v>
      </c>
      <c r="G120" s="66">
        <v>52.199999999999996</v>
      </c>
    </row>
    <row r="121" spans="1:7" ht="16" x14ac:dyDescent="0.2">
      <c r="A121" s="14">
        <v>52892</v>
      </c>
      <c r="B121" s="53" t="s">
        <v>240</v>
      </c>
      <c r="D121" s="66">
        <v>16.239999999999998</v>
      </c>
      <c r="E121" s="66">
        <v>17.399999999999999</v>
      </c>
      <c r="F121" s="66">
        <v>23.2</v>
      </c>
      <c r="G121" s="66">
        <v>46.4</v>
      </c>
    </row>
    <row r="122" spans="1:7" ht="16" x14ac:dyDescent="0.2">
      <c r="A122" s="14">
        <v>52900</v>
      </c>
      <c r="B122" s="53" t="s">
        <v>173</v>
      </c>
      <c r="D122" s="66">
        <v>17.579999999999991</v>
      </c>
      <c r="E122" s="66">
        <v>18.835714285714278</v>
      </c>
      <c r="F122" s="66">
        <v>25.114285714285703</v>
      </c>
      <c r="G122" s="66">
        <v>50.228571428571406</v>
      </c>
    </row>
    <row r="123" spans="1:7" ht="16" x14ac:dyDescent="0.2">
      <c r="A123" s="14">
        <v>52925</v>
      </c>
      <c r="B123" s="57" t="s">
        <v>174</v>
      </c>
      <c r="D123" s="66">
        <v>18.859999999999967</v>
      </c>
      <c r="E123" s="66">
        <v>20.207142857142827</v>
      </c>
      <c r="F123" s="66">
        <v>26.9428571428571</v>
      </c>
      <c r="G123" s="66">
        <v>53.885714285714201</v>
      </c>
    </row>
    <row r="124" spans="1:7" ht="16" x14ac:dyDescent="0.2">
      <c r="A124" s="14">
        <v>52986</v>
      </c>
      <c r="B124" s="51" t="s">
        <v>180</v>
      </c>
      <c r="D124" s="66">
        <v>7.91</v>
      </c>
      <c r="E124" s="66">
        <v>8.4750000000000014</v>
      </c>
      <c r="F124" s="66">
        <v>11.3</v>
      </c>
      <c r="G124" s="66">
        <v>22.6</v>
      </c>
    </row>
    <row r="125" spans="1:7" ht="16" x14ac:dyDescent="0.2">
      <c r="A125" s="14">
        <v>53100</v>
      </c>
      <c r="B125" s="51" t="s">
        <v>181</v>
      </c>
      <c r="D125" s="66">
        <v>10.96</v>
      </c>
      <c r="E125" s="66">
        <v>11.742857142857146</v>
      </c>
      <c r="F125" s="66">
        <v>15.65714285714286</v>
      </c>
      <c r="G125" s="66">
        <v>31.31428571428572</v>
      </c>
    </row>
    <row r="126" spans="1:7" ht="16" x14ac:dyDescent="0.2">
      <c r="A126" s="6">
        <v>53115</v>
      </c>
      <c r="B126" s="51" t="s">
        <v>182</v>
      </c>
      <c r="D126" s="66">
        <v>10.859999999999998</v>
      </c>
      <c r="E126" s="66">
        <v>11.635714285714284</v>
      </c>
      <c r="F126" s="66">
        <v>15.514285714285712</v>
      </c>
      <c r="G126" s="66">
        <v>31.028571428571425</v>
      </c>
    </row>
    <row r="127" spans="1:7" ht="16" x14ac:dyDescent="0.2">
      <c r="A127" s="14">
        <v>53117</v>
      </c>
      <c r="B127" s="51" t="s">
        <v>183</v>
      </c>
      <c r="D127" s="66">
        <v>10.36</v>
      </c>
      <c r="E127" s="66">
        <v>11.100000000000001</v>
      </c>
      <c r="F127" s="66">
        <v>14.8</v>
      </c>
      <c r="G127" s="66">
        <v>29.6</v>
      </c>
    </row>
    <row r="128" spans="1:7" ht="16" x14ac:dyDescent="0.2">
      <c r="A128" s="14">
        <v>53187</v>
      </c>
      <c r="B128" s="51" t="s">
        <v>195</v>
      </c>
      <c r="D128" s="66">
        <v>11.69</v>
      </c>
      <c r="E128" s="66">
        <v>12.524999999999999</v>
      </c>
      <c r="F128" s="66">
        <v>16.7</v>
      </c>
      <c r="G128" s="66">
        <v>33.4</v>
      </c>
    </row>
    <row r="129" spans="1:7" ht="16" x14ac:dyDescent="0.2">
      <c r="A129" s="14">
        <v>53195</v>
      </c>
      <c r="B129" s="51" t="s">
        <v>196</v>
      </c>
      <c r="D129" s="66">
        <v>17.639999999999997</v>
      </c>
      <c r="E129" s="66">
        <v>18.899999999999999</v>
      </c>
      <c r="F129" s="66">
        <v>25.2</v>
      </c>
      <c r="G129" s="66">
        <v>50.4</v>
      </c>
    </row>
    <row r="130" spans="1:7" ht="16" x14ac:dyDescent="0.2">
      <c r="A130" s="14">
        <v>53198</v>
      </c>
      <c r="B130" s="51" t="s">
        <v>197</v>
      </c>
      <c r="D130" s="66">
        <v>11.48</v>
      </c>
      <c r="E130" s="66">
        <v>12.3</v>
      </c>
      <c r="F130" s="66">
        <v>16.400000000000002</v>
      </c>
      <c r="G130" s="66">
        <v>32.800000000000004</v>
      </c>
    </row>
    <row r="131" spans="1:7" ht="16" x14ac:dyDescent="0.2">
      <c r="A131" s="14">
        <v>53200</v>
      </c>
      <c r="B131" s="51" t="s">
        <v>198</v>
      </c>
      <c r="D131" s="66">
        <v>19.95</v>
      </c>
      <c r="E131" s="66">
        <v>21.375</v>
      </c>
      <c r="F131" s="66">
        <v>28.5</v>
      </c>
      <c r="G131" s="66">
        <v>57</v>
      </c>
    </row>
    <row r="132" spans="1:7" ht="16" x14ac:dyDescent="0.2">
      <c r="A132" s="6">
        <v>53372</v>
      </c>
      <c r="B132" s="51" t="s">
        <v>199</v>
      </c>
      <c r="D132" s="66">
        <v>12.739999999999998</v>
      </c>
      <c r="E132" s="66">
        <v>13.649999999999999</v>
      </c>
      <c r="F132" s="66">
        <v>18.2</v>
      </c>
      <c r="G132" s="66">
        <v>36.4</v>
      </c>
    </row>
    <row r="133" spans="1:7" ht="16" x14ac:dyDescent="0.2">
      <c r="A133" s="14">
        <v>53374</v>
      </c>
      <c r="B133" s="51" t="s">
        <v>200</v>
      </c>
      <c r="D133" s="66">
        <v>12.879999999999999</v>
      </c>
      <c r="E133" s="66">
        <v>13.799999999999999</v>
      </c>
      <c r="F133" s="66">
        <v>18.399999999999999</v>
      </c>
      <c r="G133" s="66">
        <v>36.799999999999997</v>
      </c>
    </row>
    <row r="134" spans="1:7" ht="16" x14ac:dyDescent="0.2">
      <c r="A134" s="14">
        <v>53390</v>
      </c>
      <c r="B134" s="53" t="s">
        <v>201</v>
      </c>
      <c r="D134" s="66">
        <v>15.329999999999998</v>
      </c>
      <c r="E134" s="66">
        <v>16.424999999999997</v>
      </c>
      <c r="F134" s="66">
        <v>21.9</v>
      </c>
      <c r="G134" s="66">
        <v>43.8</v>
      </c>
    </row>
    <row r="135" spans="1:7" ht="16" x14ac:dyDescent="0.2">
      <c r="A135" s="14">
        <v>53400</v>
      </c>
      <c r="B135" s="53" t="s">
        <v>202</v>
      </c>
      <c r="D135" s="66">
        <v>18.899999999999999</v>
      </c>
      <c r="E135" s="66">
        <v>20.25</v>
      </c>
      <c r="F135" s="66">
        <v>27</v>
      </c>
      <c r="G135" s="66">
        <v>54</v>
      </c>
    </row>
    <row r="136" spans="1:7" ht="16" x14ac:dyDescent="0.2">
      <c r="A136" s="14">
        <v>53488</v>
      </c>
      <c r="B136" s="53" t="s">
        <v>209</v>
      </c>
      <c r="D136" s="66">
        <v>11.69</v>
      </c>
      <c r="E136" s="66">
        <v>12.524999999999999</v>
      </c>
      <c r="F136" s="66">
        <v>16.7</v>
      </c>
      <c r="G136" s="66">
        <v>33.4</v>
      </c>
    </row>
    <row r="137" spans="1:7" ht="16" x14ac:dyDescent="0.2">
      <c r="A137" s="14">
        <v>53493</v>
      </c>
      <c r="B137" s="53" t="s">
        <v>210</v>
      </c>
      <c r="D137" s="66">
        <v>12.529999999999998</v>
      </c>
      <c r="E137" s="66">
        <v>13.424999999999999</v>
      </c>
      <c r="F137" s="66">
        <v>17.899999999999999</v>
      </c>
      <c r="G137" s="66">
        <v>35.799999999999997</v>
      </c>
    </row>
    <row r="138" spans="1:7" ht="16" x14ac:dyDescent="0.2">
      <c r="A138" s="14">
        <v>53540</v>
      </c>
      <c r="B138" s="53" t="s">
        <v>153</v>
      </c>
      <c r="D138" s="66">
        <v>13.930000000000001</v>
      </c>
      <c r="E138" s="66">
        <v>14.925000000000001</v>
      </c>
      <c r="F138" s="66">
        <v>19.900000000000002</v>
      </c>
      <c r="G138" s="66">
        <v>39.800000000000004</v>
      </c>
    </row>
    <row r="139" spans="1:7" ht="16" x14ac:dyDescent="0.2">
      <c r="A139" s="14">
        <v>53588</v>
      </c>
      <c r="B139" s="53" t="s">
        <v>211</v>
      </c>
      <c r="D139" s="66">
        <v>14.7</v>
      </c>
      <c r="E139" s="66">
        <v>15.75</v>
      </c>
      <c r="F139" s="66">
        <v>21</v>
      </c>
      <c r="G139" s="66">
        <v>42</v>
      </c>
    </row>
    <row r="140" spans="1:7" ht="16" x14ac:dyDescent="0.2">
      <c r="A140" s="14">
        <v>53596</v>
      </c>
      <c r="B140" s="53" t="s">
        <v>212</v>
      </c>
      <c r="D140" s="66">
        <v>15.82</v>
      </c>
      <c r="E140" s="66">
        <v>16.950000000000003</v>
      </c>
      <c r="F140" s="66">
        <v>22.6</v>
      </c>
      <c r="G140" s="66">
        <v>45.2</v>
      </c>
    </row>
    <row r="141" spans="1:7" ht="16" x14ac:dyDescent="0.2">
      <c r="A141" s="14">
        <v>53616</v>
      </c>
      <c r="B141" s="53" t="s">
        <v>213</v>
      </c>
      <c r="D141" s="66">
        <v>10.369999999999997</v>
      </c>
      <c r="E141" s="66">
        <v>11.110714285714284</v>
      </c>
      <c r="F141" s="66">
        <v>14.814285714285711</v>
      </c>
      <c r="G141" s="66">
        <v>29.628571428571423</v>
      </c>
    </row>
    <row r="142" spans="1:7" ht="16" x14ac:dyDescent="0.2">
      <c r="A142" s="14">
        <v>53620</v>
      </c>
      <c r="B142" s="53" t="s">
        <v>214</v>
      </c>
      <c r="D142" s="66">
        <v>10.5</v>
      </c>
      <c r="E142" s="66">
        <v>11.25</v>
      </c>
      <c r="F142" s="66">
        <v>15</v>
      </c>
      <c r="G142" s="66">
        <v>30</v>
      </c>
    </row>
    <row r="143" spans="1:7" ht="16" x14ac:dyDescent="0.2">
      <c r="A143" s="14">
        <v>53702</v>
      </c>
      <c r="B143" s="51" t="s">
        <v>215</v>
      </c>
      <c r="D143" s="66">
        <v>10.290000000000001</v>
      </c>
      <c r="E143" s="66">
        <v>11.025000000000002</v>
      </c>
      <c r="F143" s="66">
        <v>14.700000000000003</v>
      </c>
      <c r="G143" s="66">
        <v>29.400000000000006</v>
      </c>
    </row>
    <row r="144" spans="1:7" ht="16" x14ac:dyDescent="0.2">
      <c r="A144" s="14">
        <v>53727</v>
      </c>
      <c r="B144" s="51" t="s">
        <v>216</v>
      </c>
      <c r="D144" s="66">
        <v>12.679999999999989</v>
      </c>
      <c r="E144" s="66">
        <v>13.585714285714275</v>
      </c>
      <c r="F144" s="66">
        <v>18.1142857142857</v>
      </c>
      <c r="G144" s="66">
        <v>36.228571428571399</v>
      </c>
    </row>
    <row r="145" spans="1:7" ht="16" x14ac:dyDescent="0.2">
      <c r="A145" s="14">
        <v>53859</v>
      </c>
      <c r="B145" s="51" t="s">
        <v>149</v>
      </c>
      <c r="D145" s="66">
        <v>10.36</v>
      </c>
      <c r="E145" s="66">
        <v>11.100000000000001</v>
      </c>
      <c r="F145" s="66">
        <v>14.8</v>
      </c>
      <c r="G145" s="66">
        <v>29.6</v>
      </c>
    </row>
    <row r="146" spans="1:7" ht="16" x14ac:dyDescent="0.2">
      <c r="A146" s="14">
        <v>53900</v>
      </c>
      <c r="B146" s="51" t="s">
        <v>148</v>
      </c>
      <c r="D146" s="66">
        <v>16.87</v>
      </c>
      <c r="E146" s="66">
        <v>18.075000000000003</v>
      </c>
      <c r="F146" s="66">
        <v>24.1</v>
      </c>
      <c r="G146" s="66">
        <v>48.2</v>
      </c>
    </row>
    <row r="147" spans="1:7" ht="16" x14ac:dyDescent="0.2">
      <c r="A147" s="14">
        <v>54020</v>
      </c>
      <c r="B147" s="51" t="s">
        <v>230</v>
      </c>
      <c r="D147" s="66">
        <v>11.66</v>
      </c>
      <c r="E147" s="66">
        <v>12.492857142857144</v>
      </c>
      <c r="F147" s="66">
        <v>16.657142857142858</v>
      </c>
      <c r="G147" s="66">
        <v>33.314285714285717</v>
      </c>
    </row>
    <row r="148" spans="1:7" ht="16" x14ac:dyDescent="0.2">
      <c r="A148" s="14">
        <v>54060</v>
      </c>
      <c r="B148" s="51" t="s">
        <v>231</v>
      </c>
      <c r="D148" s="66">
        <v>11.66</v>
      </c>
      <c r="E148" s="66">
        <v>12.492857142857144</v>
      </c>
      <c r="F148" s="66">
        <v>16.657142857142858</v>
      </c>
      <c r="G148" s="66">
        <v>33.314285714285717</v>
      </c>
    </row>
    <row r="149" spans="1:7" ht="16" x14ac:dyDescent="0.2">
      <c r="A149" s="14">
        <v>54202</v>
      </c>
      <c r="B149" s="51" t="s">
        <v>232</v>
      </c>
      <c r="D149" s="66">
        <v>11.01</v>
      </c>
      <c r="E149" s="66">
        <v>11.796428571428573</v>
      </c>
      <c r="F149" s="66">
        <v>15.72857142857143</v>
      </c>
      <c r="G149" s="66">
        <v>31.457142857142859</v>
      </c>
    </row>
    <row r="150" spans="1:7" ht="16" x14ac:dyDescent="0.2">
      <c r="A150" s="14">
        <v>54206</v>
      </c>
      <c r="B150" s="51" t="s">
        <v>233</v>
      </c>
      <c r="D150" s="66">
        <v>12.160000000000021</v>
      </c>
      <c r="E150" s="66">
        <v>13.028571428571452</v>
      </c>
      <c r="F150" s="66">
        <v>17.371428571428602</v>
      </c>
      <c r="G150" s="66">
        <v>34.742857142857204</v>
      </c>
    </row>
    <row r="151" spans="1:7" ht="16" x14ac:dyDescent="0.2">
      <c r="A151" s="14">
        <v>54539</v>
      </c>
      <c r="B151" s="51" t="s">
        <v>150</v>
      </c>
      <c r="D151" s="66">
        <v>7.35</v>
      </c>
      <c r="E151" s="66">
        <v>7.875</v>
      </c>
      <c r="F151" s="66">
        <v>10.5</v>
      </c>
      <c r="G151" s="66">
        <v>21</v>
      </c>
    </row>
    <row r="152" spans="1:7" ht="16" x14ac:dyDescent="0.2">
      <c r="A152" s="14">
        <v>54543</v>
      </c>
      <c r="B152" s="51" t="s">
        <v>151</v>
      </c>
      <c r="D152" s="66">
        <v>7.63</v>
      </c>
      <c r="E152" s="66">
        <v>8.1750000000000007</v>
      </c>
      <c r="F152" s="66">
        <v>10.9</v>
      </c>
      <c r="G152" s="66">
        <v>21.8</v>
      </c>
    </row>
    <row r="153" spans="1:7" ht="16" x14ac:dyDescent="0.2">
      <c r="A153" s="14">
        <v>54701</v>
      </c>
      <c r="B153" s="51" t="s">
        <v>146</v>
      </c>
      <c r="D153" s="66">
        <v>13.159999999999997</v>
      </c>
      <c r="E153" s="66">
        <v>14.099999999999998</v>
      </c>
      <c r="F153" s="66">
        <v>18.799999999999997</v>
      </c>
      <c r="G153" s="66">
        <v>37.599999999999994</v>
      </c>
    </row>
    <row r="154" spans="1:7" ht="16" x14ac:dyDescent="0.2">
      <c r="A154" s="14">
        <v>54798</v>
      </c>
      <c r="B154" s="51" t="s">
        <v>237</v>
      </c>
      <c r="D154" s="66">
        <v>10.290000000000001</v>
      </c>
      <c r="E154" s="66">
        <v>11.025000000000002</v>
      </c>
      <c r="F154" s="66">
        <v>14.700000000000003</v>
      </c>
      <c r="G154" s="66">
        <v>29.400000000000006</v>
      </c>
    </row>
    <row r="155" spans="1:7" ht="16" x14ac:dyDescent="0.2">
      <c r="A155" s="14">
        <v>54883</v>
      </c>
      <c r="B155" s="51" t="s">
        <v>238</v>
      </c>
      <c r="D155" s="66">
        <v>15.540000000000001</v>
      </c>
      <c r="E155" s="66">
        <v>16.650000000000002</v>
      </c>
      <c r="F155" s="66">
        <v>22.200000000000003</v>
      </c>
      <c r="G155" s="66">
        <v>44.400000000000006</v>
      </c>
    </row>
    <row r="156" spans="1:7" ht="16" x14ac:dyDescent="0.2">
      <c r="A156" s="14">
        <v>54888</v>
      </c>
      <c r="B156" s="58" t="s">
        <v>98</v>
      </c>
      <c r="D156" s="66">
        <v>18.409999999999997</v>
      </c>
      <c r="E156" s="66">
        <v>19.724999999999998</v>
      </c>
      <c r="F156" s="66">
        <v>26.299999999999997</v>
      </c>
      <c r="G156" s="66">
        <v>52.599999999999994</v>
      </c>
    </row>
    <row r="157" spans="1:7" ht="16" x14ac:dyDescent="0.2">
      <c r="A157" s="14">
        <v>54890</v>
      </c>
      <c r="B157" s="58" t="s">
        <v>99</v>
      </c>
      <c r="D157" s="66">
        <v>23.169999999999998</v>
      </c>
      <c r="E157" s="66">
        <v>24.825000000000003</v>
      </c>
      <c r="F157" s="66">
        <v>33.1</v>
      </c>
      <c r="G157" s="66">
        <v>66.2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NUEVAS REFERENCIAS</vt:lpstr>
      <vt:lpstr>CHILE</vt:lpstr>
      <vt:lpstr>COLOMBIA</vt:lpstr>
      <vt:lpstr>ESPANA</vt:lpstr>
      <vt:lpstr>ECUADOR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Aspose.PDF</dc:creator>
  <cp:lastModifiedBy>kevin osorio giraldo</cp:lastModifiedBy>
  <dcterms:created xsi:type="dcterms:W3CDTF">2025-08-15T13:49:00Z</dcterms:created>
  <dcterms:modified xsi:type="dcterms:W3CDTF">2026-08-09T01:35:50Z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8F12274A66BF4D8BA4D0A4E7D64F0CCF_13</vt:lpwstr>
  </property>
  <property fmtid="{D5CDD505-2E9C-101B-9397-08002B2CF9AE}" pid="3" name="KSOProductBuildVer">
    <vt:lpwstr>2052-12.1.0.22529</vt:lpwstr>
  </property>
</Properties>
</file>